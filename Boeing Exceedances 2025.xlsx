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hidePivotFieldList="1"/>
  <mc:AlternateContent xmlns:mc="http://schemas.openxmlformats.org/markup-compatibility/2006">
    <mc:Choice Requires="x15">
      <x15ac:absPath xmlns:x15ac="http://schemas.microsoft.com/office/spreadsheetml/2010/11/ac" url="/Users/himalayagaur/Downloads/"/>
    </mc:Choice>
  </mc:AlternateContent>
  <xr:revisionPtr revIDLastSave="0" documentId="13_ncr:1_{94E36D10-50A4-B944-B5DA-B60B9F2F6F49}" xr6:coauthVersionLast="47" xr6:coauthVersionMax="47" xr10:uidLastSave="{00000000-0000-0000-0000-000000000000}"/>
  <bookViews>
    <workbookView minimized="1" xWindow="140" yWindow="800" windowWidth="25680" windowHeight="18160" firstSheet="1" activeTab="9" xr2:uid="{00000000-000D-0000-FFFF-FFFF00000000}"/>
  </bookViews>
  <sheets>
    <sheet name="Sheet1" sheetId="1" r:id="rId1"/>
    <sheet name="Sheet2" sheetId="2" r:id="rId2"/>
    <sheet name="Sheet4" sheetId="4" r:id="rId3"/>
    <sheet name="Sheet7" sheetId="7" r:id="rId4"/>
    <sheet name="DASHBOARD" sheetId="8" r:id="rId5"/>
    <sheet name="Sheet9" sheetId="9" r:id="rId6"/>
    <sheet name="Sheet10" sheetId="10" r:id="rId7"/>
    <sheet name="Captain Exceedances" sheetId="13" r:id="rId8"/>
    <sheet name="FO Exceedances" sheetId="14" r:id="rId9"/>
    <sheet name="Count of exceedances by Airport" sheetId="15" r:id="rId10"/>
    <sheet name="Sheet3" sheetId="3" r:id="rId11"/>
  </sheets>
  <definedNames>
    <definedName name="_xlnm._FilterDatabase" localSheetId="0" hidden="1">Sheet1!$A$1:$AB$422</definedName>
    <definedName name="_xlnm._FilterDatabase" localSheetId="10" hidden="1">Sheet3!$A$1:$T$206</definedName>
    <definedName name="Slicer_Place_of_Exceedance">#N/A</definedName>
    <definedName name="Slicer_Quarter">#N/A</definedName>
  </definedNames>
  <calcPr calcId="191029"/>
  <pivotCaches>
    <pivotCache cacheId="133"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3" i="3"/>
  <c r="H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3" i="3"/>
  <c r="S4" i="3"/>
  <c r="S5" i="3"/>
  <c r="S6" i="3"/>
  <c r="S7" i="3"/>
  <c r="S8" i="3"/>
  <c r="S9" i="3"/>
  <c r="S2"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12" i="3"/>
  <c r="R13" i="3"/>
  <c r="R14" i="3"/>
  <c r="R15" i="3"/>
  <c r="R16" i="3"/>
  <c r="R17" i="3"/>
  <c r="R18" i="3"/>
  <c r="R19" i="3"/>
  <c r="R20" i="3"/>
  <c r="R21" i="3"/>
  <c r="R22" i="3"/>
  <c r="R23" i="3"/>
  <c r="R24" i="3"/>
  <c r="R25" i="3"/>
  <c r="R26" i="3"/>
  <c r="R27" i="3"/>
  <c r="R28" i="3"/>
  <c r="R29" i="3"/>
  <c r="R30" i="3"/>
  <c r="R31" i="3"/>
  <c r="R32" i="3"/>
  <c r="R33" i="3"/>
  <c r="R34" i="3"/>
  <c r="R35" i="3"/>
  <c r="R3" i="3"/>
  <c r="R4" i="3"/>
  <c r="R5" i="3"/>
  <c r="R6" i="3"/>
  <c r="R7" i="3"/>
  <c r="R8" i="3"/>
  <c r="R9" i="3"/>
  <c r="R10" i="3"/>
  <c r="R11" i="3"/>
  <c r="R2"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2"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3" i="3"/>
  <c r="P4" i="3"/>
  <c r="P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3" i="3"/>
  <c r="O4" i="3"/>
  <c r="O5" i="3"/>
  <c r="O6" i="3"/>
  <c r="O7" i="3"/>
  <c r="O8" i="3"/>
  <c r="O9" i="3"/>
  <c r="O10" i="3"/>
  <c r="O11" i="3"/>
  <c r="O12" i="3"/>
  <c r="O2" i="3"/>
  <c r="N3" i="3"/>
  <c r="N4" i="3"/>
  <c r="N5" i="3"/>
  <c r="N6" i="3"/>
  <c r="N7" i="3"/>
  <c r="N8" i="3"/>
  <c r="N9" i="3"/>
  <c r="N10" i="3"/>
  <c r="N11"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1" i="3"/>
  <c r="N72" i="3"/>
  <c r="N73" i="3"/>
  <c r="N74" i="3"/>
  <c r="N75" i="3"/>
  <c r="N76" i="3"/>
  <c r="N77" i="3"/>
  <c r="N78" i="3"/>
  <c r="N79" i="3"/>
  <c r="N80" i="3"/>
  <c r="N81" i="3"/>
  <c r="N82" i="3"/>
  <c r="N83" i="3"/>
  <c r="N84" i="3"/>
  <c r="N85" i="3"/>
  <c r="N86" i="3"/>
  <c r="N87" i="3"/>
  <c r="N88" i="3"/>
  <c r="N89" i="3"/>
  <c r="N90" i="3"/>
  <c r="N91" i="3"/>
  <c r="N92" i="3"/>
  <c r="N93" i="3"/>
  <c r="N94" i="3"/>
  <c r="N95" i="3"/>
  <c r="N96" i="3"/>
  <c r="N97" i="3"/>
  <c r="N98" i="3"/>
  <c r="N99" i="3"/>
  <c r="N100" i="3"/>
  <c r="N101" i="3"/>
  <c r="N102" i="3"/>
  <c r="N103" i="3"/>
  <c r="N104" i="3"/>
  <c r="N105" i="3"/>
  <c r="N106" i="3"/>
  <c r="N107" i="3"/>
  <c r="N108" i="3"/>
  <c r="N109" i="3"/>
  <c r="N110" i="3"/>
  <c r="N111" i="3"/>
  <c r="N112" i="3"/>
  <c r="N113" i="3"/>
  <c r="N114" i="3"/>
  <c r="N115" i="3"/>
  <c r="N116" i="3"/>
  <c r="N117" i="3"/>
  <c r="N118" i="3"/>
  <c r="N119" i="3"/>
  <c r="N120" i="3"/>
  <c r="N121" i="3"/>
  <c r="N122" i="3"/>
  <c r="N123" i="3"/>
  <c r="N124" i="3"/>
  <c r="N125" i="3"/>
  <c r="N126" i="3"/>
  <c r="N127" i="3"/>
  <c r="N128" i="3"/>
  <c r="N129" i="3"/>
  <c r="N130" i="3"/>
  <c r="N131" i="3"/>
  <c r="N132" i="3"/>
  <c r="N133" i="3"/>
  <c r="N134" i="3"/>
  <c r="N135" i="3"/>
  <c r="N136" i="3"/>
  <c r="N137" i="3"/>
  <c r="N138" i="3"/>
  <c r="N139" i="3"/>
  <c r="N140" i="3"/>
  <c r="N141" i="3"/>
  <c r="N142" i="3"/>
  <c r="N143" i="3"/>
  <c r="N144" i="3"/>
  <c r="N145" i="3"/>
  <c r="N146" i="3"/>
  <c r="N147" i="3"/>
  <c r="N148" i="3"/>
  <c r="N149" i="3"/>
  <c r="N150" i="3"/>
  <c r="N151" i="3"/>
  <c r="N152" i="3"/>
  <c r="N153" i="3"/>
  <c r="N154" i="3"/>
  <c r="N155" i="3"/>
  <c r="N156" i="3"/>
  <c r="N157" i="3"/>
  <c r="N158" i="3"/>
  <c r="N159" i="3"/>
  <c r="N160" i="3"/>
  <c r="N161" i="3"/>
  <c r="N162" i="3"/>
  <c r="N163" i="3"/>
  <c r="N164" i="3"/>
  <c r="N165" i="3"/>
  <c r="N166" i="3"/>
  <c r="N167" i="3"/>
  <c r="N168" i="3"/>
  <c r="N169" i="3"/>
  <c r="N170" i="3"/>
  <c r="N171" i="3"/>
  <c r="N172" i="3"/>
  <c r="N173" i="3"/>
  <c r="N174" i="3"/>
  <c r="N175" i="3"/>
  <c r="N176" i="3"/>
  <c r="N177" i="3"/>
  <c r="N178" i="3"/>
  <c r="N179" i="3"/>
  <c r="N180" i="3"/>
  <c r="N181" i="3"/>
  <c r="N182" i="3"/>
  <c r="N183" i="3"/>
  <c r="N184" i="3"/>
  <c r="N185" i="3"/>
  <c r="N186" i="3"/>
  <c r="N187" i="3"/>
  <c r="N188" i="3"/>
  <c r="N189" i="3"/>
  <c r="N190" i="3"/>
  <c r="N191" i="3"/>
  <c r="N192" i="3"/>
  <c r="N193" i="3"/>
  <c r="N194" i="3"/>
  <c r="N195" i="3"/>
  <c r="N196" i="3"/>
  <c r="N197" i="3"/>
  <c r="N198" i="3"/>
  <c r="N199" i="3"/>
  <c r="N200" i="3"/>
  <c r="N201" i="3"/>
  <c r="N202" i="3"/>
  <c r="N203" i="3"/>
  <c r="N204" i="3"/>
  <c r="N205" i="3"/>
  <c r="N206" i="3"/>
  <c r="N2" i="3"/>
  <c r="X422" i="1"/>
  <c r="X416" i="1" l="1"/>
  <c r="X415" i="1"/>
  <c r="X413" i="1" l="1"/>
  <c r="X410" i="1" l="1"/>
  <c r="X409" i="1"/>
  <c r="X401" i="1" l="1"/>
  <c r="X400" i="1"/>
  <c r="X399" i="1"/>
  <c r="X398" i="1"/>
  <c r="X394" i="1" l="1"/>
  <c r="X393" i="1" l="1"/>
  <c r="X391" i="1" l="1"/>
  <c r="X386" i="1" l="1"/>
  <c r="X390" i="1" l="1"/>
  <c r="X388" i="1"/>
  <c r="X384" i="1" l="1"/>
  <c r="X379" i="1" l="1"/>
  <c r="X375" i="1"/>
  <c r="X374" i="1" l="1"/>
  <c r="X373" i="1"/>
  <c r="X368" i="1" l="1"/>
  <c r="X367" i="1" l="1"/>
  <c r="X360" i="1" l="1"/>
  <c r="X359" i="1"/>
  <c r="X358" i="1"/>
  <c r="X357" i="1"/>
  <c r="X356" i="1"/>
  <c r="X353" i="1" l="1"/>
  <c r="X352" i="1" l="1"/>
  <c r="X351" i="1" l="1"/>
  <c r="X349" i="1"/>
  <c r="X348" i="1"/>
  <c r="X347" i="1"/>
  <c r="X343" i="1" l="1"/>
  <c r="X342" i="1"/>
  <c r="X339" i="1" l="1"/>
  <c r="X337" i="1" l="1"/>
  <c r="X333" i="1" l="1"/>
  <c r="X328" i="1" l="1"/>
  <c r="X327" i="1" l="1"/>
  <c r="X325" i="1" l="1"/>
  <c r="X323" i="1" l="1"/>
  <c r="X321" i="1" l="1"/>
  <c r="X320" i="1" l="1"/>
  <c r="X306" i="1" l="1"/>
  <c r="X305" i="1" l="1"/>
  <c r="X303" i="1"/>
  <c r="X302" i="1" l="1"/>
  <c r="X301" i="1"/>
  <c r="X300" i="1"/>
  <c r="X299" i="1"/>
  <c r="X292" i="1" l="1"/>
  <c r="X291" i="1"/>
  <c r="X287" i="1" l="1"/>
  <c r="X284" i="1" l="1"/>
  <c r="X283" i="1"/>
  <c r="X281" i="1" l="1"/>
  <c r="X279" i="1" l="1"/>
  <c r="X274" i="1" l="1"/>
  <c r="U273" i="1" l="1"/>
  <c r="U272" i="1"/>
  <c r="U271" i="1"/>
  <c r="U270" i="1"/>
  <c r="AA9" i="1" l="1"/>
  <c r="AA10" i="1"/>
  <c r="AA12" i="1"/>
  <c r="AA13" i="1"/>
  <c r="AA14" i="1"/>
  <c r="AA19" i="1"/>
  <c r="AA20" i="1"/>
  <c r="AA22" i="1"/>
  <c r="AA25" i="1"/>
  <c r="AA26" i="1"/>
  <c r="AA27" i="1"/>
  <c r="AA28" i="1"/>
  <c r="AA29" i="1"/>
  <c r="AA33" i="1"/>
  <c r="AA34" i="1"/>
  <c r="AA35" i="1"/>
  <c r="AA43" i="1"/>
  <c r="AA49" i="1"/>
  <c r="AA50" i="1"/>
  <c r="AA51" i="1"/>
  <c r="AA55" i="1"/>
  <c r="AA56" i="1"/>
  <c r="AA58" i="1"/>
  <c r="AA60" i="1"/>
  <c r="AA66" i="1"/>
  <c r="AA69" i="1"/>
  <c r="AA74" i="1"/>
  <c r="AA75" i="1"/>
  <c r="AA76" i="1"/>
  <c r="AA80" i="1"/>
  <c r="AA81" i="1"/>
  <c r="AA84" i="1"/>
  <c r="AA86" i="1"/>
  <c r="AA92" i="1"/>
  <c r="AA95" i="1"/>
  <c r="AA96" i="1"/>
  <c r="AA99" i="1"/>
  <c r="AA101" i="1"/>
  <c r="AA102" i="1"/>
  <c r="AA104" i="1"/>
  <c r="AA105" i="1"/>
  <c r="AA111" i="1"/>
  <c r="AA114" i="1"/>
  <c r="AA115" i="1"/>
  <c r="AA118" i="1"/>
  <c r="AA124" i="1"/>
  <c r="AA125" i="1"/>
  <c r="AA126" i="1"/>
  <c r="AA127" i="1"/>
  <c r="AA131" i="1"/>
  <c r="AA132" i="1"/>
  <c r="AA134" i="1"/>
  <c r="AA142" i="1"/>
  <c r="AA143" i="1"/>
  <c r="AA144" i="1"/>
  <c r="AA152" i="1"/>
  <c r="AA154" i="1"/>
  <c r="AA158" i="1"/>
  <c r="AA162" i="1"/>
  <c r="AA169" i="1"/>
  <c r="AA170" i="1"/>
  <c r="AA172" i="1"/>
  <c r="AA174" i="1"/>
  <c r="AA175" i="1"/>
  <c r="AA176" i="1"/>
  <c r="AA186" i="1"/>
  <c r="AA187" i="1"/>
  <c r="AA189" i="1"/>
  <c r="AA192" i="1"/>
  <c r="AA193" i="1"/>
  <c r="AA200" i="1"/>
  <c r="AA203" i="1"/>
  <c r="AA222" i="1"/>
  <c r="AA223" i="1"/>
  <c r="AA229" i="1"/>
  <c r="AA239" i="1"/>
  <c r="AA243" i="1"/>
  <c r="AA248" i="1"/>
  <c r="AA249" i="1"/>
  <c r="AA250" i="1"/>
  <c r="AA255" i="1"/>
  <c r="AA2" i="1"/>
  <c r="U269" i="1" l="1"/>
  <c r="U267" i="1"/>
  <c r="U266" i="1"/>
  <c r="U265" i="1"/>
  <c r="U262" i="1"/>
  <c r="U261" i="1"/>
  <c r="U260" i="1"/>
  <c r="U259" i="1"/>
  <c r="U258" i="1"/>
  <c r="U257" i="1"/>
  <c r="U252" i="1"/>
  <c r="U247" i="1"/>
  <c r="U246" i="1"/>
  <c r="U245" i="1"/>
  <c r="U244" i="1"/>
  <c r="U242" i="1"/>
  <c r="U241" i="1"/>
  <c r="U240" i="1"/>
  <c r="U237" i="1"/>
  <c r="U236" i="1"/>
  <c r="U235" i="1"/>
  <c r="U234" i="1"/>
  <c r="U233" i="1"/>
  <c r="U232" i="1"/>
  <c r="U231" i="1"/>
  <c r="U230" i="1"/>
  <c r="U227" i="1"/>
  <c r="U226" i="1"/>
  <c r="U225" i="1"/>
  <c r="U224" i="1"/>
  <c r="U220" i="1"/>
  <c r="U219" i="1"/>
  <c r="U218" i="1"/>
  <c r="U216" i="1"/>
  <c r="U215" i="1"/>
  <c r="U214" i="1"/>
  <c r="U212" i="1"/>
  <c r="U211" i="1"/>
  <c r="U210" i="1"/>
  <c r="U209" i="1"/>
  <c r="U208" i="1"/>
  <c r="U207" i="1"/>
  <c r="U206" i="1"/>
  <c r="U205" i="1"/>
  <c r="U204" i="1"/>
  <c r="U202" i="1"/>
  <c r="U201" i="1"/>
  <c r="U198" i="1"/>
  <c r="U197" i="1"/>
  <c r="U196" i="1"/>
  <c r="U195" i="1"/>
  <c r="U194" i="1"/>
  <c r="U191" i="1"/>
  <c r="U190" i="1"/>
  <c r="U188" i="1"/>
  <c r="U185" i="1"/>
  <c r="U184" i="1"/>
  <c r="U183" i="1"/>
  <c r="U182" i="1"/>
  <c r="U181" i="1"/>
  <c r="U180" i="1"/>
  <c r="U179" i="1"/>
  <c r="U173" i="1"/>
  <c r="U171" i="1"/>
  <c r="U168" i="1"/>
  <c r="U167" i="1"/>
  <c r="U166" i="1"/>
  <c r="U165" i="1"/>
  <c r="U164" i="1"/>
  <c r="U161" i="1"/>
  <c r="U160" i="1"/>
  <c r="U159" i="1"/>
  <c r="U157" i="1"/>
  <c r="U156" i="1"/>
  <c r="U155" i="1"/>
  <c r="U153" i="1"/>
  <c r="U151" i="1"/>
  <c r="U149" i="1"/>
  <c r="U148" i="1"/>
  <c r="U147" i="1"/>
  <c r="U146" i="1"/>
  <c r="U145" i="1"/>
  <c r="U141" i="1"/>
  <c r="U140" i="1"/>
  <c r="U139" i="1"/>
  <c r="U138" i="1"/>
  <c r="U136" i="1"/>
  <c r="U135" i="1"/>
  <c r="U130" i="1"/>
  <c r="U129" i="1"/>
  <c r="U128" i="1"/>
  <c r="U123" i="1"/>
  <c r="U122" i="1"/>
  <c r="U121" i="1"/>
  <c r="U120" i="1"/>
  <c r="U119" i="1"/>
  <c r="U117" i="1"/>
  <c r="U116" i="1"/>
  <c r="U113" i="1"/>
  <c r="U112" i="1"/>
  <c r="U110" i="1"/>
  <c r="U109" i="1"/>
  <c r="U108" i="1"/>
  <c r="U107" i="1"/>
  <c r="U106" i="1"/>
  <c r="U103" i="1"/>
  <c r="U100" i="1"/>
  <c r="U98" i="1"/>
  <c r="U97" i="1"/>
  <c r="U94" i="1"/>
  <c r="U93" i="1"/>
  <c r="U91" i="1"/>
  <c r="U90" i="1"/>
  <c r="U89" i="1"/>
  <c r="U88" i="1"/>
  <c r="U87" i="1"/>
  <c r="U85" i="1"/>
  <c r="U83" i="1"/>
  <c r="U82" i="1"/>
  <c r="U79" i="1"/>
  <c r="U78" i="1"/>
  <c r="U71" i="1"/>
  <c r="U70" i="1"/>
  <c r="U68" i="1"/>
  <c r="U67" i="1"/>
  <c r="U65" i="1"/>
  <c r="U63" i="1"/>
  <c r="U64" i="1"/>
  <c r="U62" i="1"/>
  <c r="U61" i="1"/>
  <c r="U59" i="1"/>
  <c r="U57" i="1"/>
  <c r="U54" i="1"/>
  <c r="U53" i="1"/>
  <c r="U52" i="1"/>
  <c r="U48" i="1"/>
  <c r="U47" i="1"/>
  <c r="U46" i="1"/>
  <c r="U45" i="1"/>
  <c r="U44" i="1"/>
  <c r="U42" i="1"/>
  <c r="U41" i="1"/>
  <c r="U40" i="1"/>
  <c r="U39" i="1"/>
  <c r="U38" i="1"/>
  <c r="U37" i="1"/>
  <c r="U36" i="1"/>
  <c r="U30" i="1"/>
  <c r="U24" i="1"/>
  <c r="U23" i="1"/>
  <c r="U21" i="1"/>
  <c r="U18" i="1"/>
  <c r="U17" i="1"/>
  <c r="U16" i="1"/>
  <c r="U15" i="1"/>
  <c r="U11" i="1"/>
  <c r="U8" i="1"/>
  <c r="U4" i="1"/>
  <c r="U5" i="1"/>
  <c r="U6" i="1"/>
  <c r="U7" i="1"/>
  <c r="U3" i="1"/>
  <c r="X268" i="1" l="1"/>
  <c r="X264" i="1" l="1"/>
  <c r="X263" i="1" l="1"/>
  <c r="X256" i="1" l="1"/>
  <c r="X255" i="1"/>
  <c r="X254" i="1"/>
  <c r="X253" i="1"/>
  <c r="X251" i="1" l="1"/>
  <c r="X250" i="1"/>
  <c r="X249" i="1"/>
  <c r="X248" i="1"/>
  <c r="X243" i="1" l="1"/>
  <c r="X239" i="1" l="1"/>
  <c r="X238" i="1" l="1"/>
  <c r="X228" i="1" l="1"/>
  <c r="X229" i="1"/>
  <c r="X223" i="1" l="1"/>
  <c r="X222" i="1"/>
  <c r="X221" i="1" l="1"/>
  <c r="X217" i="1" l="1"/>
  <c r="X213" i="1" l="1"/>
  <c r="X203" i="1" l="1"/>
  <c r="X200" i="1" l="1"/>
  <c r="X199" i="1"/>
  <c r="X193" i="1" l="1"/>
  <c r="X192" i="1"/>
  <c r="X189" i="1" l="1"/>
  <c r="X187" i="1"/>
  <c r="X186" i="1"/>
  <c r="X178" i="1" l="1"/>
  <c r="X177" i="1"/>
  <c r="X176" i="1"/>
  <c r="X175" i="1"/>
  <c r="X174" i="1"/>
  <c r="X173" i="1"/>
  <c r="X172" i="1"/>
  <c r="X170" i="1" l="1"/>
  <c r="X169" i="1"/>
  <c r="X163" i="1" l="1"/>
  <c r="X162" i="1"/>
  <c r="X158" i="1"/>
  <c r="X154" i="1" l="1"/>
  <c r="X152" i="1"/>
  <c r="X150" i="1"/>
  <c r="X144" i="1" l="1"/>
  <c r="X143" i="1"/>
  <c r="X142" i="1" l="1"/>
  <c r="X137" i="1" l="1"/>
  <c r="X134" i="1" l="1"/>
  <c r="X133" i="1"/>
  <c r="X132" i="1"/>
  <c r="X131" i="1"/>
  <c r="X127" i="1" l="1"/>
  <c r="X126" i="1"/>
  <c r="X125" i="1"/>
  <c r="X124" i="1"/>
  <c r="X118" i="1" l="1"/>
  <c r="X115" i="1" l="1"/>
  <c r="X114" i="1"/>
  <c r="X111" i="1" l="1"/>
  <c r="X105" i="1" l="1"/>
  <c r="X104" i="1"/>
  <c r="X102" i="1"/>
  <c r="X101" i="1" l="1"/>
  <c r="X99" i="1" l="1"/>
  <c r="X96" i="1" l="1"/>
  <c r="X95" i="1"/>
  <c r="X92" i="1" l="1"/>
  <c r="X86" i="1" l="1"/>
  <c r="X84" i="1"/>
  <c r="X81" i="1" l="1"/>
  <c r="X80" i="1"/>
  <c r="X79" i="1"/>
  <c r="X77" i="1" l="1"/>
  <c r="X76" i="1"/>
  <c r="X75" i="1" l="1"/>
  <c r="X74" i="1"/>
  <c r="X69" i="1" l="1"/>
  <c r="X66" i="1" l="1"/>
  <c r="X60" i="1" l="1"/>
  <c r="X58" i="1" l="1"/>
  <c r="X56" i="1"/>
  <c r="X55" i="1"/>
  <c r="X51" i="1" l="1"/>
  <c r="X50" i="1"/>
  <c r="X49" i="1"/>
  <c r="X43" i="1" l="1"/>
  <c r="X35" i="1" l="1"/>
  <c r="X34" i="1" l="1"/>
  <c r="X33" i="1"/>
  <c r="X32" i="1"/>
  <c r="X31" i="1"/>
  <c r="X29" i="1"/>
  <c r="X27" i="1" l="1"/>
  <c r="X28" i="1"/>
  <c r="X26" i="1" l="1"/>
  <c r="X25" i="1"/>
  <c r="X22" i="1" l="1"/>
  <c r="X20" i="1" l="1"/>
  <c r="X19" i="1" l="1"/>
  <c r="X14" i="1" l="1"/>
  <c r="X13" i="1"/>
  <c r="X12" i="1"/>
  <c r="X10" i="1" l="1"/>
  <c r="X9" i="1"/>
  <c r="X2" i="1" l="1"/>
</calcChain>
</file>

<file path=xl/sharedStrings.xml><?xml version="1.0" encoding="utf-8"?>
<sst xmlns="http://schemas.openxmlformats.org/spreadsheetml/2006/main" count="9278" uniqueCount="1841">
  <si>
    <t>SL No</t>
  </si>
  <si>
    <t>DATE</t>
  </si>
  <si>
    <t>REG</t>
  </si>
  <si>
    <t>FLT NO</t>
  </si>
  <si>
    <t>SECTOR</t>
  </si>
  <si>
    <t>CAPT</t>
  </si>
  <si>
    <t>F/O</t>
  </si>
  <si>
    <t>EXCEEDANCE</t>
  </si>
  <si>
    <t>LIMIT</t>
  </si>
  <si>
    <t>RECORDED</t>
  </si>
  <si>
    <t>UNIT</t>
  </si>
  <si>
    <t>Approach</t>
  </si>
  <si>
    <t>G-A / Land</t>
  </si>
  <si>
    <t>Reference Number</t>
  </si>
  <si>
    <t>Category</t>
  </si>
  <si>
    <t>Comments</t>
  </si>
  <si>
    <t>Flt Ops Recommendation</t>
  </si>
  <si>
    <t>Closure Date</t>
  </si>
  <si>
    <t>Mail to Flt Ops</t>
  </si>
  <si>
    <t>Remarks</t>
  </si>
  <si>
    <t>Reference Name</t>
  </si>
  <si>
    <t>Analysis</t>
  </si>
  <si>
    <t>Sent Date</t>
  </si>
  <si>
    <t>Closure Rate</t>
  </si>
  <si>
    <t>High Rate of Descent (500-100 ft)</t>
  </si>
  <si>
    <t>fpm</t>
  </si>
  <si>
    <t>ft</t>
  </si>
  <si>
    <t>Go around</t>
  </si>
  <si>
    <t>DA/DH</t>
  </si>
  <si>
    <t>/FSD/Exceedance/</t>
  </si>
  <si>
    <t>VT-SYZ</t>
  </si>
  <si>
    <t>SG 53</t>
  </si>
  <si>
    <t>CCJ-DXB</t>
  </si>
  <si>
    <t>UMANG BHATIA</t>
  </si>
  <si>
    <t>d</t>
  </si>
  <si>
    <t>DEL-BOM</t>
  </si>
  <si>
    <t>o</t>
  </si>
  <si>
    <t>VT-SLB</t>
  </si>
  <si>
    <t>GPWS (GLIDESLOPE)</t>
  </si>
  <si>
    <t>Deviation Below Glideslope (&lt;1000 ft)</t>
  </si>
  <si>
    <t>VT-SLM</t>
  </si>
  <si>
    <t>BOM-DEL</t>
  </si>
  <si>
    <t>kt</t>
  </si>
  <si>
    <t>VT-MXG</t>
  </si>
  <si>
    <t>SG 16</t>
  </si>
  <si>
    <t>DXB-AMD</t>
  </si>
  <si>
    <t>SANJEEV KUMAR</t>
  </si>
  <si>
    <t>RONNY SINGH</t>
  </si>
  <si>
    <t>VT-SGG</t>
  </si>
  <si>
    <t>VT-SFD</t>
  </si>
  <si>
    <t>SG 7001</t>
  </si>
  <si>
    <t>BOM-CCU</t>
  </si>
  <si>
    <t>SAURABH SARKAR</t>
  </si>
  <si>
    <t>Low Rate of Descent (&lt;1000 ft)</t>
  </si>
  <si>
    <t>VT-SXE</t>
  </si>
  <si>
    <t>SHREYASKUMAR ANILKUMAR CHAUDHARI</t>
  </si>
  <si>
    <t>DEL-IXB</t>
  </si>
  <si>
    <t>Excessive Bank on Approach (&gt;500 ft)</t>
  </si>
  <si>
    <t>Late Landing Flap</t>
  </si>
  <si>
    <t>SG 327</t>
  </si>
  <si>
    <t>BLR-IXB</t>
  </si>
  <si>
    <t>NEERAJ KAMLESH POKARNA</t>
  </si>
  <si>
    <t>SG 328</t>
  </si>
  <si>
    <t>IXB-BLR</t>
  </si>
  <si>
    <t>Long Landing</t>
  </si>
  <si>
    <t>RITESH AGARWAL</t>
  </si>
  <si>
    <t>VT-SGV</t>
  </si>
  <si>
    <t>DEVANSHU PRADEEP MALHOTRA</t>
  </si>
  <si>
    <t>VT-SFE</t>
  </si>
  <si>
    <t>Vref +20</t>
  </si>
  <si>
    <t>PRASAD RAVINDRA MANIYAR</t>
  </si>
  <si>
    <t>Excessive Bank after Take-off (&gt;400 ft)</t>
  </si>
  <si>
    <t>SG 7262</t>
  </si>
  <si>
    <t>DEL-HAN</t>
  </si>
  <si>
    <t>ROSHYA SEBI</t>
  </si>
  <si>
    <t>SG 311</t>
  </si>
  <si>
    <t>MAA-AYJ</t>
  </si>
  <si>
    <t>NANCY NAYYAR</t>
  </si>
  <si>
    <t>High Vertical Acceleration (Landing)</t>
  </si>
  <si>
    <t>G</t>
  </si>
  <si>
    <t>299 (baro)</t>
  </si>
  <si>
    <t>SG 312</t>
  </si>
  <si>
    <t>AYJ-MAA</t>
  </si>
  <si>
    <t>SUNDEEP SINGH SHERGILL</t>
  </si>
  <si>
    <t>Flap 30 Speed Exceeded</t>
  </si>
  <si>
    <t>Final status</t>
  </si>
  <si>
    <t>SG 7003</t>
  </si>
  <si>
    <t>CCU-BOM</t>
  </si>
  <si>
    <t>ANIRUDH KRISHNA</t>
  </si>
  <si>
    <t>Approach Speed High (1000-500 ft)</t>
  </si>
  <si>
    <t>Vref +25</t>
  </si>
  <si>
    <t>SANCHIT NAGAR</t>
  </si>
  <si>
    <t>NAMIT DANG</t>
  </si>
  <si>
    <t>SG 8841</t>
  </si>
  <si>
    <t>SG 8842</t>
  </si>
  <si>
    <t>IXB-DEL</t>
  </si>
  <si>
    <t>SG 8947</t>
  </si>
  <si>
    <t>MAA-SAG</t>
  </si>
  <si>
    <t>ASHRAF KHAN</t>
  </si>
  <si>
    <t>SG 8946</t>
  </si>
  <si>
    <t>DEL-SAG</t>
  </si>
  <si>
    <t>SG 710</t>
  </si>
  <si>
    <t>SG 88</t>
  </si>
  <si>
    <t>BKK-DEL</t>
  </si>
  <si>
    <t>SUKIRAT SINGH</t>
  </si>
  <si>
    <t xml:space="preserve">VT-SGG </t>
  </si>
  <si>
    <t>SG 491</t>
  </si>
  <si>
    <t>AMD-GOX</t>
  </si>
  <si>
    <t>SG 903</t>
  </si>
  <si>
    <t>ASIR</t>
  </si>
  <si>
    <t>SG 937</t>
  </si>
  <si>
    <t>DEL-SXR</t>
  </si>
  <si>
    <t>ANAND MURTHY TIWARI</t>
  </si>
  <si>
    <t>ANUPAM SHARMA.</t>
  </si>
  <si>
    <t>Deviation Above Glideslope (&lt;1000 ft)</t>
  </si>
  <si>
    <t>Comment</t>
  </si>
  <si>
    <t>for 8 sec, Deviation started from: 521 ft(radio), 
Max Deviation 1.54 at Altitude: 386 ft(radio)</t>
  </si>
  <si>
    <t>Pending</t>
  </si>
  <si>
    <t>B737/25-01/01</t>
  </si>
  <si>
    <t>SG 57</t>
  </si>
  <si>
    <t>JAI-DXB</t>
  </si>
  <si>
    <t>RAGHU RAJ NANDAYAL</t>
  </si>
  <si>
    <t>BHUSHAN SHAILESH SHAH</t>
  </si>
  <si>
    <t>Information</t>
  </si>
  <si>
    <t>Flap 30 selected at: 1087 ft(Alt AAL),
Flap 30 reached posn at: 1029 ft(Alt AAL), ILS Approach</t>
  </si>
  <si>
    <t>NA</t>
  </si>
  <si>
    <t>NR</t>
  </si>
  <si>
    <t>Mail sent to operating crew</t>
  </si>
  <si>
    <t>CLOSED</t>
  </si>
  <si>
    <t>NIL</t>
  </si>
  <si>
    <t>Received</t>
  </si>
  <si>
    <t>VT-SLF</t>
  </si>
  <si>
    <t>SG 391</t>
  </si>
  <si>
    <t>IXB-BOM</t>
  </si>
  <si>
    <t>DARSHAN DALAL</t>
  </si>
  <si>
    <t>HARSH.</t>
  </si>
  <si>
    <t>Approach Speed High (&lt;50 ft)</t>
  </si>
  <si>
    <t>Vref+15</t>
  </si>
  <si>
    <t>Vref+19</t>
  </si>
  <si>
    <t>VT-SXA</t>
  </si>
  <si>
    <t>SG 389D</t>
  </si>
  <si>
    <t>NADEEM AHMAD</t>
  </si>
  <si>
    <t>SAKSHI SAXENA</t>
  </si>
  <si>
    <t>731 (baro)</t>
  </si>
  <si>
    <t>VT-SLG</t>
  </si>
  <si>
    <t>SG 185</t>
  </si>
  <si>
    <t>DEL-PNQ</t>
  </si>
  <si>
    <t>SANKET MAHESH MARULKAR</t>
  </si>
  <si>
    <t>ALHAD SUDHIR PHADKE</t>
  </si>
  <si>
    <t>1871 (baro)</t>
  </si>
  <si>
    <t>SG 473</t>
  </si>
  <si>
    <t>NIMISH KUMAR SINGH</t>
  </si>
  <si>
    <t>SUMIT GUPTA</t>
  </si>
  <si>
    <t>2093 (baro)</t>
  </si>
  <si>
    <t>B737/25-01/02</t>
  </si>
  <si>
    <t>B737/25-01/03</t>
  </si>
  <si>
    <t>B737/25-01/04</t>
  </si>
  <si>
    <t>Reported G</t>
  </si>
  <si>
    <t>for 7 sec, Vref: 143 kts, Max CAS: 162.3 kts
 at Altitude: 14 ft(radio) for 1 sec, ILS Approach</t>
  </si>
  <si>
    <t>At 381 ft (radio), NPA</t>
  </si>
  <si>
    <t>At 195 ft(radio), Visual</t>
  </si>
  <si>
    <t>At 116 ft(radio), ILS Approach</t>
  </si>
  <si>
    <t>SG 58</t>
  </si>
  <si>
    <t>YUNUS AHMED MUHAMMADFARUK KHARADI</t>
  </si>
  <si>
    <t>SG 8721</t>
  </si>
  <si>
    <t>DEL-PAT</t>
  </si>
  <si>
    <t>SUDHIR SHARMA</t>
  </si>
  <si>
    <t>PARAS JYOT SINGH AHLUWALIA</t>
  </si>
  <si>
    <t>VT-SLA</t>
  </si>
  <si>
    <t>SURYA BIR SINGH</t>
  </si>
  <si>
    <t>SANJANA SANJAY AMRITE</t>
  </si>
  <si>
    <t>for 2 sec, At 139 ft(radio),CAS 150.3 kts Max Rod: 930 fpm at 224 ft (radio), ILS Approach</t>
  </si>
  <si>
    <t>for 7 secs, Deviation started from: 168 ft(radio), 
Max Deviation 1.84 at Altitude: 139 ft(radio)</t>
  </si>
  <si>
    <t>At 219 ft (radio), ILS Approach</t>
  </si>
  <si>
    <t>B737/25-01/05</t>
  </si>
  <si>
    <t>FSD Recommendation</t>
  </si>
  <si>
    <t>SG 388</t>
  </si>
  <si>
    <t>GOP-BOM</t>
  </si>
  <si>
    <t>PRATIK KHAIRMODE</t>
  </si>
  <si>
    <t>CHETNA SEHRAWAT</t>
  </si>
  <si>
    <t>Excessive Bank after Take-off (0-400 ft)</t>
  </si>
  <si>
    <t>SG 711</t>
  </si>
  <si>
    <t>DEL-HYD</t>
  </si>
  <si>
    <t>ALOK KUMAR GARG</t>
  </si>
  <si>
    <t>RUCHIR MANDAVIA</t>
  </si>
  <si>
    <t>SG 213</t>
  </si>
  <si>
    <t>RUPINDAR SINGH</t>
  </si>
  <si>
    <t>SG 531</t>
  </si>
  <si>
    <t>BLR-PAT</t>
  </si>
  <si>
    <t>SURABHI</t>
  </si>
  <si>
    <t>AKSHEY SOOD</t>
  </si>
  <si>
    <t>VT-SLC</t>
  </si>
  <si>
    <t>SG 517</t>
  </si>
  <si>
    <t>BLR-CCU</t>
  </si>
  <si>
    <t>MAHENDRA KUVARJI CHHEDA</t>
  </si>
  <si>
    <t>SAMEL MAKHIJA</t>
  </si>
  <si>
    <t>Pitch Rate High During Take-off (Average)</t>
  </si>
  <si>
    <t>o/sec</t>
  </si>
  <si>
    <t>SG 184</t>
  </si>
  <si>
    <t>GOX-PNQ</t>
  </si>
  <si>
    <t>NAMITA SHRIPAL CHAURASIA</t>
  </si>
  <si>
    <t>VMO Exceeded</t>
  </si>
  <si>
    <t>kts</t>
  </si>
  <si>
    <t>Reported R</t>
  </si>
  <si>
    <t>for 3 sec, Max Bank: L 10 at Altitude: 258 ft(radio),
 CAS: 156.8 kt, Flap: 5</t>
  </si>
  <si>
    <t>for 1 sec, At 168 ft(radio),CAS 151 kts Max Rod: 840 fpm at 432 ft (radio), ILS Approach</t>
  </si>
  <si>
    <t>for 8 sec, Deviation started from: 242 ft(radio), 
Max Deviation 1.36 at Altitude: 168 ft(radio)</t>
  </si>
  <si>
    <t>During Descent, at Altitude: 3913 ft(AAL),
 CAS: 164.3 knots</t>
  </si>
  <si>
    <t>During Descent, at Altitude: 1585 ft(AAL),
 CAS: 165.5 knots</t>
  </si>
  <si>
    <t>CAS: 169.5 knots, V1: 160, Vr: 163, V2: 166.75, Flap 5</t>
  </si>
  <si>
    <t>for 12 sec, Max CAS: 336.3 knots for 1 sec at 22385 ft(baro), 
During Descent, A/P Engaged (CMD A)</t>
  </si>
  <si>
    <t>B737/25-01/06</t>
  </si>
  <si>
    <t>B737/25-01/07</t>
  </si>
  <si>
    <t>SG 324</t>
  </si>
  <si>
    <t>BOM-AYJ</t>
  </si>
  <si>
    <t>JATIN CHANDRAKANT MER</t>
  </si>
  <si>
    <t>VISHAL CHHIKARA</t>
  </si>
  <si>
    <t>for 10 secs, Deviation started from: 209 ft(radio), 
Max Deviation 1.37 at Altitude: 135 ft(radio), ILS Approach</t>
  </si>
  <si>
    <t>B737/25-01/08</t>
  </si>
  <si>
    <t>NFA</t>
  </si>
  <si>
    <t>SG 9752</t>
  </si>
  <si>
    <t>PAT-DEL</t>
  </si>
  <si>
    <t>RASHMI SHARMA</t>
  </si>
  <si>
    <t>ASHISH MISTRY</t>
  </si>
  <si>
    <t>VINAYDEEP BILHATIYA</t>
  </si>
  <si>
    <t>VIKRAM  SINGH</t>
  </si>
  <si>
    <t>CAS: 140 knots, V1: 117, Vr: 120, V2: 129, Flap 5</t>
  </si>
  <si>
    <t>for 5 sec, starting from Altitude: 192 ft(AAL),
 Max ROD: 1155 fpm for 1 sec at 172 ft(AAL), CAS: 153.5 kt, Ground Speed: 167.5kt, ILS Approach</t>
  </si>
  <si>
    <t>B737/25-01/09</t>
  </si>
  <si>
    <t>SG 712</t>
  </si>
  <si>
    <t>HYD-DEL</t>
  </si>
  <si>
    <t>ISHAN SHARMA.</t>
  </si>
  <si>
    <t>Long landing</t>
  </si>
  <si>
    <t>SG 87</t>
  </si>
  <si>
    <t>DEL-BKK</t>
  </si>
  <si>
    <t>DRON THAKUR</t>
  </si>
  <si>
    <t>Flare time (51 feet to touchdown): 14 sec, 
Vref: 148 kt, At 51 ft: CAS 158.8 kt,
 ENG #1 N1: 54.97 ENG #2 N1: 55.8
 At Touch Down: CAS 150 kt, ENG #1 N1: 32.06 ENG #2 N1: 31.9</t>
  </si>
  <si>
    <t>Flap 30 selected at: 1137 ft(radio),
Flap 30 reached posn at: 1043 ft(radio), ILS Approach</t>
  </si>
  <si>
    <t>B737/25-01/10</t>
  </si>
  <si>
    <t>SG 758</t>
  </si>
  <si>
    <t>DEL-GOX</t>
  </si>
  <si>
    <t>ANIL ARORA</t>
  </si>
  <si>
    <t>GPWS (TERRAIN)</t>
  </si>
  <si>
    <t>744 (baro)</t>
  </si>
  <si>
    <t>Localizer Deviation (&lt;1000 ft)</t>
  </si>
  <si>
    <t>B737/25-01/11</t>
  </si>
  <si>
    <t>for 4 sec, at Altitude: 744 ft (baro), Vertical Speed : 345 fpm , During Approach</t>
  </si>
  <si>
    <t>for 5 sec, Starting from Alititude: 983 ft (radio),
Max deviation 1.09 at alt 983 ft (radio) for 1 sec</t>
  </si>
  <si>
    <t>for 4 sec, Deviation started from: 507 ft(radio),
Max Deviation 1.11 at Altitude: 401 ft(radio)</t>
  </si>
  <si>
    <t>VT-SYJ</t>
  </si>
  <si>
    <t>SG 130</t>
  </si>
  <si>
    <t>CCU-DEL</t>
  </si>
  <si>
    <t>SAHIL TALWAR</t>
  </si>
  <si>
    <t>B737/25-01/12</t>
  </si>
  <si>
    <t>for 1 sec, At 106 ft(radio),CAS 152.5 kts Max Rod: 1005 fpm at 162 ft (radio), ILS Approach</t>
  </si>
  <si>
    <t>for 4 sec, Deviation started from: 143 ft(radio), 
Max Deviation 1.82 at Altitude: 115 ft(radio),  ILS Approach</t>
  </si>
  <si>
    <t>VT-SLP</t>
  </si>
  <si>
    <t>SG 536</t>
  </si>
  <si>
    <t>DEL-BLR</t>
  </si>
  <si>
    <t>TEJAS SALUJA</t>
  </si>
  <si>
    <t>KAMAL KUMAR</t>
  </si>
  <si>
    <t>High Taxi Speed (Straight)</t>
  </si>
  <si>
    <t>SG 124</t>
  </si>
  <si>
    <t>IXL-DEL</t>
  </si>
  <si>
    <t>Early Autopilot Engagement</t>
  </si>
  <si>
    <t>SG 122</t>
  </si>
  <si>
    <t>RACHITA MATTA</t>
  </si>
  <si>
    <t>SG 54</t>
  </si>
  <si>
    <t>DXB-CCJ</t>
  </si>
  <si>
    <t>CHIRAG PRAKASH VANWARI</t>
  </si>
  <si>
    <t>SANTOSH MAYUR RAYAN PALAKODETY</t>
  </si>
  <si>
    <t>deg</t>
  </si>
  <si>
    <t>SG 663</t>
  </si>
  <si>
    <t>DEL-IXD</t>
  </si>
  <si>
    <t>SNEH DEEP</t>
  </si>
  <si>
    <t>B737/25-01/13</t>
  </si>
  <si>
    <t>B737/25-01/14</t>
  </si>
  <si>
    <t>B737/25-01/15</t>
  </si>
  <si>
    <t>B737/25-01/16</t>
  </si>
  <si>
    <t>B737/25-01/17</t>
  </si>
  <si>
    <t>for 9 sec, Max Ground Speed: 31.5 kt for 3 sec, 
After Landing</t>
  </si>
  <si>
    <t>At 728 ft (radio), ILS Approach</t>
  </si>
  <si>
    <t>A/P Engaged at 344 ft(ALT AAL), CAS:162.8 kts, Flap: 1</t>
  </si>
  <si>
    <t>A/P Engaged at 388 ft(ALT AAL), CAS:161.5 kts, Flap: 1</t>
  </si>
  <si>
    <t>for 1 sec, At 123 ft(radio),CAS 152.5 kts Max Rod: 960 fpm at 207 ft (radio), ILS Approach</t>
  </si>
  <si>
    <t>for 3 secs, Deviation started from: 197 ft(radio), 
Max Deviation 1.46 at Altitude: 187 ft(radio),  ILS Approach</t>
  </si>
  <si>
    <t>SG 964</t>
  </si>
  <si>
    <t>RAJIV MOHAN</t>
  </si>
  <si>
    <t>RAKSHITA MALIK</t>
  </si>
  <si>
    <t>Pitch Attitude Low at Landing</t>
  </si>
  <si>
    <t>SG 130D</t>
  </si>
  <si>
    <t>CCU-JAI</t>
  </si>
  <si>
    <t>HARICHARAN SATYANARAYAN BANSAL</t>
  </si>
  <si>
    <t>KETAN SUBHASH TAMBE</t>
  </si>
  <si>
    <t>DA\DH</t>
  </si>
  <si>
    <t>CAS: 143 kts, 
Flap 40 Landing, Roll L 0.7 deg</t>
  </si>
  <si>
    <t>At 13 ft(radio), ILS Approach</t>
  </si>
  <si>
    <t>B737/25-01/18</t>
  </si>
  <si>
    <t>B737/25-01/19</t>
  </si>
  <si>
    <t>SXR-DEL</t>
  </si>
  <si>
    <t>ARVINDER SINGH</t>
  </si>
  <si>
    <t>SAHIL SHARMA</t>
  </si>
  <si>
    <t>SG 713</t>
  </si>
  <si>
    <t>AMALENDU</t>
  </si>
  <si>
    <t>SANDEEP PHUTELA</t>
  </si>
  <si>
    <t>B737/25-01/20</t>
  </si>
  <si>
    <t>for 4 sec, starting from Altitude: 330 ft(Altitude AAL),
 Max ROD: 1110 fpm for 1 sec at 313 ft(Altitude AAL), ILS</t>
  </si>
  <si>
    <t>At 24 ft (radio), ILS Approach</t>
  </si>
  <si>
    <t>ASHEESH GUPTA</t>
  </si>
  <si>
    <t>648 (baro)</t>
  </si>
  <si>
    <t>SG 121</t>
  </si>
  <si>
    <t>DEL-IXL</t>
  </si>
  <si>
    <t>ASHISH JAYASWAL</t>
  </si>
  <si>
    <t>GPWS (SINK RATE)</t>
  </si>
  <si>
    <t>SG 136</t>
  </si>
  <si>
    <t>BLR-DEL</t>
  </si>
  <si>
    <t>VINEET GULIA</t>
  </si>
  <si>
    <t>At 158 ft (radio), NPA</t>
  </si>
  <si>
    <t>for 3 secs, Max ROD: 1665 fpm for 1 sec at 449 ft (radio), NPA, Vertical Acceleration Landing: 1.27 G</t>
  </si>
  <si>
    <t>CAS: 161.5 knots, V1: 146, Vr: 155, V2: 158, Flap 5</t>
  </si>
  <si>
    <t>B737/25-01/21</t>
  </si>
  <si>
    <t>SG 534</t>
  </si>
  <si>
    <t>AMD-PAT</t>
  </si>
  <si>
    <t>During Descent, at Altitude: 1533 ft(AAL),
 CAS: 168.5 knots</t>
  </si>
  <si>
    <t>SG 8473</t>
  </si>
  <si>
    <t>SAURABH SHAHI</t>
  </si>
  <si>
    <t>Max Landing Weight</t>
  </si>
  <si>
    <t>kg</t>
  </si>
  <si>
    <t>Exceeded maximum landing weight by 310 kg, Max vertical acceleration (landing) : 1.17 g</t>
  </si>
  <si>
    <t>B737/25-01/22</t>
  </si>
  <si>
    <t>SG 950</t>
  </si>
  <si>
    <t>BOM-DBR</t>
  </si>
  <si>
    <t>ABHISHEK PANDURANG PHALKE</t>
  </si>
  <si>
    <t>for 2 sec, Max ROD: 1335 fpm for 1 sec at 43 ft (radio), NPA, Vertical Acceleration Landing: 1.609 G</t>
  </si>
  <si>
    <t>FARZAND SINGH</t>
  </si>
  <si>
    <t>PRITAM HINDUJA</t>
  </si>
  <si>
    <t>MANDEEP KAUR.</t>
  </si>
  <si>
    <t>AMEYA DINESH PUJARI</t>
  </si>
  <si>
    <t>During Descent, at Altitude: 1482 ft(AAL),
 CAS: 170.5 knots</t>
  </si>
  <si>
    <t>for 3 sec, Max ROD: 1185 fpm for 2 sec at  58 ft(radio), ILS Approach, Vertical Acceleration Landing: 1.76 G</t>
  </si>
  <si>
    <t>SG 656</t>
  </si>
  <si>
    <t>IXD-BOM</t>
  </si>
  <si>
    <t>TANMAY GANESH KELUSKAR</t>
  </si>
  <si>
    <t>YUNUSAHMED MUHAMMADFARUK KHARADI</t>
  </si>
  <si>
    <t>Go around 1st</t>
  </si>
  <si>
    <t>Go around 2nd</t>
  </si>
  <si>
    <t>SG 761D</t>
  </si>
  <si>
    <t>DEL-CCU</t>
  </si>
  <si>
    <t>KARAN MALHOTRA</t>
  </si>
  <si>
    <t>At 565 ft (radio),NPA</t>
  </si>
  <si>
    <t>At 121 ft (radio),NPA</t>
  </si>
  <si>
    <t>After Go around,for 4 sec
Max CAS 183 kts for 1 sec at Altitude: 130 ft(radio),
Max Vertical Acceleration (Air): 1.34 g</t>
  </si>
  <si>
    <t>On second Approach for 6 sec, starting from Altitude: 276 ft(AAL),
 Max ROD: 1230 fpm for 1 sec at 216 ft(radio), CAS: 164 kts, Ground speed: 163.5 kts, NPA</t>
  </si>
  <si>
    <t>On third  Approach for 5 sec, starting from Altitude: 494 ft(AAL),
 Max ROD: 1320 fpm for 1 sec at 494 ft(radio), CAS: 162.5 kts, Ground speed: 159 kts, NPA</t>
  </si>
  <si>
    <t>At 110 ft (radio),NPA</t>
  </si>
  <si>
    <t>At 352 ft (radio),NPA</t>
  </si>
  <si>
    <t>Intermittent for 3 sec, Max ROD: 1185 fpm for 1 sec at  158 ft(radio), NPA, Vertical Acceleration Landing: 1.25 G</t>
  </si>
  <si>
    <t>B737/25-01/23</t>
  </si>
  <si>
    <t>B737/25-01/24</t>
  </si>
  <si>
    <t>SG 456</t>
  </si>
  <si>
    <t>BLR-VNS</t>
  </si>
  <si>
    <t>SNEHA SHEKHAWAT</t>
  </si>
  <si>
    <t>SG 9013</t>
  </si>
  <si>
    <t>IDR-PNQ</t>
  </si>
  <si>
    <t>ADITYA KOLHATKAR</t>
  </si>
  <si>
    <t>SIDDHARTHA MOHAN</t>
  </si>
  <si>
    <t>2270 (baro)</t>
  </si>
  <si>
    <t>B737/25-01/25</t>
  </si>
  <si>
    <t>B737/25-01/26</t>
  </si>
  <si>
    <t>for 1 sec, starting from 171 ft(radio),CAS 150 kts Max Rod: 900 fpm, ILS Approach</t>
  </si>
  <si>
    <t>for 8 sec, Deviation started from: 252 ft(radio),
Max Deviation 1.30 at Altitude: 191 ft(radio)</t>
  </si>
  <si>
    <t>At 364 ft (radio), NPA</t>
  </si>
  <si>
    <t xml:space="preserve">for 10 sec, Starting from Alt: 849 ft(Alt AAL), Min ROD: 15 fpm at Alt: 868 ft(Alt AAL),
 CAS: 157.8 kt, Ground Speed: 164.5 kt, NPA, A/P Not Engaged, Winds: 91.1 deg 3.50 knots, Capt HDG: 95.6 deg </t>
  </si>
  <si>
    <t>IXJ-SXR</t>
  </si>
  <si>
    <t>HIMANI SAREEN</t>
  </si>
  <si>
    <t>ANKUR BALANA</t>
  </si>
  <si>
    <t>for 3 sec, Max ROD: 1275 fpm for 1 sec at  50 ft(radio), ILS Approach, Vertical Acceleration Landing: 1.30 G</t>
  </si>
  <si>
    <t>SG 143</t>
  </si>
  <si>
    <t>ALKESH AJAYKUMAR NAIR</t>
  </si>
  <si>
    <t>SUPREET KAUR GILL</t>
  </si>
  <si>
    <t>SG 9031</t>
  </si>
  <si>
    <t>LALIT NEPAL</t>
  </si>
  <si>
    <t>Vref + 15</t>
  </si>
  <si>
    <t>Vref + 17</t>
  </si>
  <si>
    <t>SG 52</t>
  </si>
  <si>
    <t>DXB-PNQ</t>
  </si>
  <si>
    <t>ANTARA PURI</t>
  </si>
  <si>
    <t>SG 655</t>
  </si>
  <si>
    <t>AMD-IXD</t>
  </si>
  <si>
    <t>SHRIKANT ANANT PATIL</t>
  </si>
  <si>
    <t>ROHAN NOORALI VALIANI</t>
  </si>
  <si>
    <t>Speed at Rotation High</t>
  </si>
  <si>
    <t>Vr+15</t>
  </si>
  <si>
    <t>Vr+16</t>
  </si>
  <si>
    <t xml:space="preserve">for 5 secs, Starting from Alt: 967 ft(radio), Min ROD: 225 fpm at Alt: 955 ft(radio),
 CAS: 134.5 kt, Ground Speed: 129.5 kt, ILS Approach, A/P Not Engaged, Winds: 84 deg 15 knots, Capt HDG: 90.7 deg </t>
  </si>
  <si>
    <t>for 5 sec, Vref: 148 kts, Max CAS: 165 kts
 at Altitude: 47 ft(radio) for 1 sec, ILS Approach</t>
  </si>
  <si>
    <t>During Descent, at Altitude: 3798 ft(Baro),
 CAS: 163.5  knots</t>
  </si>
  <si>
    <t>CAS: 153 knots, V1: 142, Vr: 144, V2: 148, Flap 5</t>
  </si>
  <si>
    <t>CAS: 163, V1: 143, Vr: 147, V2: 155, Flap 5</t>
  </si>
  <si>
    <t>B737/25-01/27</t>
  </si>
  <si>
    <t>MOHIT KADIAN</t>
  </si>
  <si>
    <t>SG 658</t>
  </si>
  <si>
    <t>IXD-AMD</t>
  </si>
  <si>
    <t>Late Thrust Reverser Deployment</t>
  </si>
  <si>
    <t>sec</t>
  </si>
  <si>
    <t>for 4 sec, starting from Altitude: 167 ft(AAL),
 Max ROD: 1215 fpm for 1 sec at 112 ft(AAL), CAS: 151.3 kt, Ground Speed: 169 kt, ILS Approach</t>
  </si>
  <si>
    <t>Auto Brake applied for 1 sec, 
Max Brake Press Left: 1630 psi for 1 sec Ground Speed: 125 kt,
Max Brake Press Right: 1711 psi for 2 sec Ground Speed: 125 kt</t>
  </si>
  <si>
    <t>B737/25-01/28</t>
  </si>
  <si>
    <t>COUNSELLING,NFA</t>
  </si>
  <si>
    <t>for 4 secs, starting from Altitude: 384 ft(AAL),
 Max ROD: 1140 fpm for 1 sec at 329 ft(AAL), CAS: 154.3 kt, Ground Speed: 177.5 kt, ILS Approach</t>
  </si>
  <si>
    <t>During Descent, at Altitude: 1889 ft(AAL),
 CAS: 180.3  knots</t>
  </si>
  <si>
    <t>SXR-IXJ</t>
  </si>
  <si>
    <t>VT-MXC</t>
  </si>
  <si>
    <t>SG 535</t>
  </si>
  <si>
    <t>B737/25-01/29</t>
  </si>
  <si>
    <t>for 4 sec, starting from Altitude: 187 ft(Alt AAL),
 Max ROD: 1200 fpm for 2 sec at 149 ft(Alt AAL), CAS: 159.8 kt, Ground Speed: 170 kt, ILS Approach</t>
  </si>
  <si>
    <t>During Descent, at Altitude: 1667 ft(Alt AAL),
 CAS: 143  knots</t>
  </si>
  <si>
    <t>During Descent, at Altitude: 1610 ft(Alt AAL),
 CAS: 147.5  knots</t>
  </si>
  <si>
    <t>Disregard</t>
  </si>
  <si>
    <t>NIKHIL NARENDRA KOTHARI</t>
  </si>
  <si>
    <t>PARITOSH KUMAR SINGH</t>
  </si>
  <si>
    <t>DEL-GOP</t>
  </si>
  <si>
    <t>SG 2139</t>
  </si>
  <si>
    <t>No Thrust Reverser deployed</t>
  </si>
  <si>
    <t>Thrust Reverser Not Deployed</t>
  </si>
  <si>
    <t>SG 214</t>
  </si>
  <si>
    <t>Auto Brake not  applied, 
Max Brake Press Left: 296 psi for 1 sec Ground Speed: 110.5 kt,
Max Brake Press Right: 45 psi for 2 sec Ground Speed: 124 kt</t>
  </si>
  <si>
    <t>for 5 secs, Deviation started from: 378 ft(AAL), 
Max Deviation 1.18 at Altitude: 378 ft(radio)</t>
  </si>
  <si>
    <t>comment</t>
  </si>
  <si>
    <t>B737/25-01/32</t>
  </si>
  <si>
    <t>B737/25-01/33</t>
  </si>
  <si>
    <t>DISREGARD</t>
  </si>
  <si>
    <t>SHAKTI SATYAKUMAR KAUSHAL</t>
  </si>
  <si>
    <t>NITISH SINGH</t>
  </si>
  <si>
    <t>SG 475</t>
  </si>
  <si>
    <t>for 7 secs, Deviation started from: 252 ft(AAL), 
Max Deviation 1.23 at Altitude: 198 ft(AAL),  ILS Approach</t>
  </si>
  <si>
    <t>for 9 secs, Deviation started from: 243 ft(AAL), 
Max Deviation 1.32 at Altitude: 197 ft(AAL),  ILS Approach</t>
  </si>
  <si>
    <t>B737/25-02/01</t>
  </si>
  <si>
    <t>B737/25-02/02</t>
  </si>
  <si>
    <t>SG 709</t>
  </si>
  <si>
    <t>Pitch Attitude High at takeoff (average)</t>
  </si>
  <si>
    <t>deg/sec</t>
  </si>
  <si>
    <t>CAS : 159.5 kts, Flap 1, V1 : 153, Vr : 155, V2 : 158 kts</t>
  </si>
  <si>
    <t>SG 765</t>
  </si>
  <si>
    <t>BOM-IXD</t>
  </si>
  <si>
    <t>SHABNAM GAFOOR KHAN SARGUROH</t>
  </si>
  <si>
    <t>1455 (baro)</t>
  </si>
  <si>
    <t>Flap Placard Speed Exceeded</t>
  </si>
  <si>
    <t>AMAN  JAIN</t>
  </si>
  <si>
    <t>At 1259 ft (radio), NPA</t>
  </si>
  <si>
    <t>Before Go around for 5 secs, during Descent,
Max CAS 200.5 kts for 1 sec at Altitude: 1712 ft(radio),
Max Vertical Acceleration (Air): 1.29 g</t>
  </si>
  <si>
    <t>for 5 secs, Deviation started from: 339 ft(AAL), 
Max Deviation 1.14 at Altitude: 331 ft(AAL)</t>
  </si>
  <si>
    <t>B737/25-02/03</t>
  </si>
  <si>
    <t>B737/25-02/04</t>
  </si>
  <si>
    <t>KUNAL HITEN PARIKH</t>
  </si>
  <si>
    <t>At 71 ft (radio), NPA</t>
  </si>
  <si>
    <t>Before Go-around,for 3 sec, Max ROD: 1095 fpm for 1 sec at  133 ft(radio), NPA, Vertical Acceleration Landing: 1.29 G</t>
  </si>
  <si>
    <t>B737/25-02/05</t>
  </si>
  <si>
    <t>SG 646</t>
  </si>
  <si>
    <t>SG 945</t>
  </si>
  <si>
    <t>DEL-VNS</t>
  </si>
  <si>
    <t>BHAKTI KIRAN BAGARIA</t>
  </si>
  <si>
    <t>RAJIB CHOWDHURY</t>
  </si>
  <si>
    <t>1653 (baro)</t>
  </si>
  <si>
    <t>SG 752</t>
  </si>
  <si>
    <t>DBR-DEL</t>
  </si>
  <si>
    <t>Approach Speed High (500- 50 ft)</t>
  </si>
  <si>
    <t>Vref +27</t>
  </si>
  <si>
    <t>B737/25-02/06</t>
  </si>
  <si>
    <t>B737/25-02/07</t>
  </si>
  <si>
    <t>B737/25-02/08</t>
  </si>
  <si>
    <t>for 13 sec, Deviation started from: 944 ft(ALT AAL), 
Max Deviation 1.18 at Altitude: 851 ft(ALT AAL</t>
  </si>
  <si>
    <t>At 1459 ft (radio), ILS Approach</t>
  </si>
  <si>
    <t xml:space="preserve"> for 7 sec, Vref: 128, Max CAS: 154.8 kts for 1 sec at Altitude: 396 ft (radio), A/P not Engaged , Winds: 291.8 deg 14 knots, Capt HDG: 271.8 deg, ILS Approach</t>
  </si>
  <si>
    <t>SG 761</t>
  </si>
  <si>
    <t>BHAVISH MEHRA</t>
  </si>
  <si>
    <t>ANSHU SHARMA</t>
  </si>
  <si>
    <t>HARINDER SINGH</t>
  </si>
  <si>
    <t>During Descent, at Altitude: 3580 ft(AAL),
 CAS: 198.3  knots</t>
  </si>
  <si>
    <t>for 4 sec, starting from Altitude: 163 ft(AAL),
 Max ROD: 1260 fpm for 1 sec at 107 ft(AAL), CAS: 153.5 kt, Ground Speed: 175.5 kt, ILS Approach</t>
  </si>
  <si>
    <t>Flap 30 selected at: 1158 ft(AAL),
Flap 30 reached posn at 1112 ft(AAL), ILS Approach</t>
  </si>
  <si>
    <t>Flap 40 selected at: 1142 ft(AAL),
Flap 40 reached posn at 1064 ft(AAL), ILS Approach</t>
  </si>
  <si>
    <t>GUNJAN AWASTHI</t>
  </si>
  <si>
    <t>Vref+23</t>
  </si>
  <si>
    <t>For 4 sec, Vref: 143 kts, Max CAS: 166 kts
 at Altitude: 49 ft(radio) for 1 sec, ILS Approach</t>
  </si>
  <si>
    <t>MOHIT KUMAR</t>
  </si>
  <si>
    <t>SG 751</t>
  </si>
  <si>
    <t>DEL-DBR</t>
  </si>
  <si>
    <t>GARIMA</t>
  </si>
  <si>
    <t>Auto Brake applied for 14 sec, 
Max Brake Press Left: 851 psi for 1 sec Ground Speed: 90.5 kt,
Max Brake Press Right: 922 psi for 1 sec Ground Speed: 78.5 kt</t>
  </si>
  <si>
    <t>During Descent, at Altitude: 3252 ft(Baro),
 CAS: 188.3  knots</t>
  </si>
  <si>
    <t>for 5 sec, starting from Altitude: 354 ft(ALT AAL),
 Max ROD: 1095 fpm for 2 sec at 299 ft(ALT AAL), ILS Approach</t>
  </si>
  <si>
    <t>B737/25-02/09</t>
  </si>
  <si>
    <t>VINAY KUMAR SINGH</t>
  </si>
  <si>
    <t>ASHLESH BAPURAO SHINDE</t>
  </si>
  <si>
    <t>SG 781</t>
  </si>
  <si>
    <t>GOKULNATH</t>
  </si>
  <si>
    <t>SABAREE THANGAVEL</t>
  </si>
  <si>
    <t>SG 779</t>
  </si>
  <si>
    <t>NIKHIL CHAWLA</t>
  </si>
  <si>
    <t>B737/25-02/10</t>
  </si>
  <si>
    <t>for 4 sec, starting from Altitude: 434ft (AAL),
 Max ROD: 1140 fpm for 3 sec at 415 ft(AAL), CAS: 157 kts, 
Ground speed: 167 kts, ILS Approach</t>
  </si>
  <si>
    <t>for 4 sec, Deviation started from: 225 ft(AAL),
Max Deviation 1.21 at Altitude: 195 ft(AAL</t>
  </si>
  <si>
    <t>for 10 secs, During Descent, at Altitude: 1516 ft(AAL),
 CAS: 205.3 knots</t>
  </si>
  <si>
    <t>for 5 sec, starting from Altitude: 417 ft(AAL),
 Max ROD: 1080 fpm for 2 sec at 363 ft(AAL), NPA</t>
  </si>
  <si>
    <t>B737/25-02/11</t>
  </si>
  <si>
    <t>SG 8901</t>
  </si>
  <si>
    <t>AKASH SANDHU</t>
  </si>
  <si>
    <t>B737/25-02/12</t>
  </si>
  <si>
    <t>Flare time (54 feet to touchdown): 14 sec, 
Vref: 146 kt, At 54 ft: CAS 157.5 kt,
 ENG #1 N1: 58.88 ENG #2 N1: 58.8
 At Touch Down: CAS 145.5 kt, ENG #1 N1: 32.63 ENG #2 N1: 32.9</t>
  </si>
  <si>
    <t>SG 780</t>
  </si>
  <si>
    <t>MANABENDRA DEKA</t>
  </si>
  <si>
    <t>VENKAT JAGANATHAN</t>
  </si>
  <si>
    <t>SG 84</t>
  </si>
  <si>
    <t>BKK-CCU</t>
  </si>
  <si>
    <t>OLYM ROY</t>
  </si>
  <si>
    <t>SUKANTA SARKAR</t>
  </si>
  <si>
    <t>7164 (AAL)</t>
  </si>
  <si>
    <t>GPWS (PULL UP)</t>
  </si>
  <si>
    <t>7109 ft(AAL</t>
  </si>
  <si>
    <t>SG 123</t>
  </si>
  <si>
    <t>10976 (Baro)</t>
  </si>
  <si>
    <t>At 1544ft (radio), NPA</t>
  </si>
  <si>
    <t>For 2 secs, at Altitude: 7164 ft (AAL), During Descent</t>
  </si>
  <si>
    <t xml:space="preserve"> for 4 secs, at Altitude: 7109 ft(AAL), During Descent</t>
  </si>
  <si>
    <t>At 384 ft (radio), NPA</t>
  </si>
  <si>
    <t>B737/25-02/13</t>
  </si>
  <si>
    <t>B737/25-02/14</t>
  </si>
  <si>
    <t>B737/25-02/15</t>
  </si>
  <si>
    <t>Approach Speed High (500-50 ft)</t>
  </si>
  <si>
    <t>Vref+20</t>
  </si>
  <si>
    <t>Vref+22</t>
  </si>
  <si>
    <t>Vref+18</t>
  </si>
  <si>
    <t xml:space="preserve"> for 4 sec, Vref: 136, Max CAS: 158.3 kts for 2 sec at Altitude: 10660 ft (baro)\ 239 ft(radio),  Winds: 252.4 deg 3 knots, Capt HDG: 68.2 deg, Visual Approach</t>
  </si>
  <si>
    <t>for 5 sec, Vref: 136 kts, Max CAS: 156.3 kts
 at Altitude: 11 ft(radio) for 1 sec, Visual Approach, Flap 15</t>
  </si>
  <si>
    <t>B737/25-02/16</t>
  </si>
  <si>
    <t>SG 775</t>
  </si>
  <si>
    <t>MAA-IXD</t>
  </si>
  <si>
    <t>MANISH SINGH</t>
  </si>
  <si>
    <t>1140 (Baro)</t>
  </si>
  <si>
    <t>4199 (Baro)</t>
  </si>
  <si>
    <t>AMIT  SUDAN</t>
  </si>
  <si>
    <t>At 896 ft (radio), NPA</t>
  </si>
  <si>
    <t>At 1292 ft (radio), NPA</t>
  </si>
  <si>
    <t>During Descent, at Altitude: 2489 ft(Baro),
 CAS: 210.8  knots</t>
  </si>
  <si>
    <t>B737/25-02/17</t>
  </si>
  <si>
    <t>B737/25-02/18</t>
  </si>
  <si>
    <t>KETAN TAMBE</t>
  </si>
  <si>
    <t>SG 767</t>
  </si>
  <si>
    <t>BLR-IXD</t>
  </si>
  <si>
    <t>ANJUL PRAVEEN TOPPO</t>
  </si>
  <si>
    <t>Flap 30 selected at: 1105 ft(AAL),
Flap 30 reached position at 1023 ft(AAL), ILS Approach</t>
  </si>
  <si>
    <t>Flap 40 selected at: 1136 ft(AAL),
Flap 40 reached position at 1072 ft(AAL), ILS Approach</t>
  </si>
  <si>
    <t>SG 187</t>
  </si>
  <si>
    <t>RITURAJ JAISWAL</t>
  </si>
  <si>
    <t>1635 (BARO)</t>
  </si>
  <si>
    <t>B737/25-02/19</t>
  </si>
  <si>
    <t>B737/25-02/20</t>
  </si>
  <si>
    <t>for 2 sec, Max Bank: L 11.8 at Altitude: 226 ft(radio),
 CAS: 170.8 kt, Flap: 5</t>
  </si>
  <si>
    <t>At 1580 ft (radio), NPA</t>
  </si>
  <si>
    <t>RAVINDER CHAWLA</t>
  </si>
  <si>
    <t>778 ft (baro)</t>
  </si>
  <si>
    <t>At 453 ft (radio), NPA</t>
  </si>
  <si>
    <t>B737/25-02/21</t>
  </si>
  <si>
    <t>SG 764</t>
  </si>
  <si>
    <t>ADITYA KOLATHKAR</t>
  </si>
  <si>
    <t>ADNAN ABDUL JABBAR</t>
  </si>
  <si>
    <t>Exceesive Bank After take-off &gt;400 ft</t>
  </si>
  <si>
    <t>B737/25-02/22</t>
  </si>
  <si>
    <t>B737/25-02/23</t>
  </si>
  <si>
    <t>for 4 sec, Starting from Alt: 241 ft(AAL), Min ROD: 255 fpm at Alt: 235 ft(AAL),
 CAS: 140.8 kt, Ground Speed: 143.5 kt, NPA, A/P not  Engaged, Winds: 110 deg 5.5 knots, Capt HDG: 47.1 deg</t>
  </si>
  <si>
    <t>for 4 sec, starting from Altitude: 1627 ft (radio),
 Max. Bank: L 38.5 at Altitude: 1658 ft(radio), CAS: 173.5 kts, Flaps 5</t>
  </si>
  <si>
    <t>SG 393</t>
  </si>
  <si>
    <t>AMD-AYJ</t>
  </si>
  <si>
    <t>PERSIS FIRDOS VIMADALAL</t>
  </si>
  <si>
    <t>During Descent, at Altitude: 2703 ft(AAL),
 CAS: 214knots</t>
  </si>
  <si>
    <t>SG 965</t>
  </si>
  <si>
    <t>2415 (baro)</t>
  </si>
  <si>
    <t>At 570 ft (radio), NPA</t>
  </si>
  <si>
    <t>B737/25-02/24</t>
  </si>
  <si>
    <t>JIGYASA GARG</t>
  </si>
  <si>
    <t>for 7 sec, Starting from Alt: 265 ft(AAL), Min ROD: 195 fpm at Alt: 254 ft(AAL),
 CAS: 141.8 kt, Ground Speed: 135 kt, NPA, A/P not  Engaged, Winds: 054.1 deg 10 knots, Capt HDG: 046.4 deg</t>
  </si>
  <si>
    <t>During Descent, at Altitude: 3633 ft(AAL),
 CAS: 179.8  knots</t>
  </si>
  <si>
    <t>Flap 30 selected at: 1165 ft(Alt AAL),
Flap 30 reached posn at: 1097 ft(Alt AAL), ILS Approach</t>
  </si>
  <si>
    <t>B737/25-02/25</t>
  </si>
  <si>
    <t>SG 331</t>
  </si>
  <si>
    <t>VNS-BOM</t>
  </si>
  <si>
    <t>SAURAV CHAKRABARTY</t>
  </si>
  <si>
    <t>3 (baro)</t>
  </si>
  <si>
    <t>B737/25-02/26</t>
  </si>
  <si>
    <t>At 1 ft (radio), ILS Approach</t>
  </si>
  <si>
    <t>SG 950D</t>
  </si>
  <si>
    <t>BOM-PAT</t>
  </si>
  <si>
    <t>CHARAN SINGH CHOUDHARY</t>
  </si>
  <si>
    <t>218 (BARO)</t>
  </si>
  <si>
    <t>212 (BARO)</t>
  </si>
  <si>
    <t>SG 9039</t>
  </si>
  <si>
    <t>154 (AAL)</t>
  </si>
  <si>
    <t>SG 659</t>
  </si>
  <si>
    <t>AMD-DEL</t>
  </si>
  <si>
    <t>B737/25-02/27</t>
  </si>
  <si>
    <t>B737/25-02/28</t>
  </si>
  <si>
    <t>B737/25-02/29</t>
  </si>
  <si>
    <t>At 79 ft (radio), NPA</t>
  </si>
  <si>
    <t>At 69 ft (radio), NPA</t>
  </si>
  <si>
    <t>for 7 sec, starting from Altitude: 269 ft(AAL),
 Max ROD: 1170 fpm for 2 sec at 250 ft(AAL), CAS: 159.8 kt, Ground Speed: 162 kt, NPA</t>
  </si>
  <si>
    <t>for 4 sec, At 154 ft(AAL),CAS 138.8 kts Max Rod: 1065 fpm at 246ft (AAL), ILS Approach</t>
  </si>
  <si>
    <t>for 11 sec, Deviation started from: 211 ft(AAL), 
Max Deviation 2.09 at Altitude: 126 ft(AAL)</t>
  </si>
  <si>
    <t xml:space="preserve"> for 4 sec, Vref: 139 Kts, Max CAS: 160.8 kts for 1 sec at Altitude: 143 ft (radio), A/P Not Engaged, Winds: 219.4 deg 1.5 knots, Capt HDG: 103.7 deg, ILS Approach</t>
  </si>
  <si>
    <t>for 5 sec, Vref: 139 kts, Max CAS: 158 kts
 at Altitude: 15 ft(radio) for 1 sec, ILS Approach</t>
  </si>
  <si>
    <t>SAGAR SHEGOANKAR</t>
  </si>
  <si>
    <t>2232 (BARO)</t>
  </si>
  <si>
    <t>132 (BARO)</t>
  </si>
  <si>
    <t>AYAAN AHMED SIDDIQUI</t>
  </si>
  <si>
    <t>Flap 15 Speed Exceeded</t>
  </si>
  <si>
    <t>SG 638</t>
  </si>
  <si>
    <t>CCU-IXZ</t>
  </si>
  <si>
    <t>SG 611</t>
  </si>
  <si>
    <t>DEL-MAA</t>
  </si>
  <si>
    <t>MANAS CHATTERJEE</t>
  </si>
  <si>
    <t>MMO Exceeded</t>
  </si>
  <si>
    <t>M</t>
  </si>
  <si>
    <t>UNNATI PRAMOD KAMLAKAR</t>
  </si>
  <si>
    <t>At 1336 ft (radio), ILS Approach</t>
  </si>
  <si>
    <t>At 40 ft (radio), NPA</t>
  </si>
  <si>
    <t>for 1 sec,during descent, Max CAS: 203.8 kts for 1 sec at Altitude: 2935 ft(radio),
Max Vertical Acceleration (Air): 1.15 g</t>
  </si>
  <si>
    <t>CAS: 152.8 kts, 
Flap 30 Landing, Roll R 0.5 deg</t>
  </si>
  <si>
    <t>for 14 secs, During Cruise, Max MMO 0.839
 at Altitude: 36992 ft(Baro) for 1 sec,
 Pitch: U 2.8, Roll: L 0.7,  CAS: 273.8 kt, Max Vertical Acc (Air): 1.15 G</t>
  </si>
  <si>
    <t>for 6 secs, starting from Altitude: 270 ft(AAL),
 Max ROD: 1230 fpm for 1 sec at 231 ft(AAL), CAS: 158 kt, Ground Speed: 163 kt, NPA</t>
  </si>
  <si>
    <t>B737/25-03/01</t>
  </si>
  <si>
    <t>B737/25-03/02</t>
  </si>
  <si>
    <t>B737/25-03/03</t>
  </si>
  <si>
    <t>B737/25-03/04</t>
  </si>
  <si>
    <t>B737/25-03/05</t>
  </si>
  <si>
    <t>B737/25-03/06</t>
  </si>
  <si>
    <t>BLR-DBR</t>
  </si>
  <si>
    <t>699 ft (baro)</t>
  </si>
  <si>
    <t>PAVANDEEP SINGH BHASIN</t>
  </si>
  <si>
    <t>818 ft (baro)</t>
  </si>
  <si>
    <t xml:space="preserve">Reported G </t>
  </si>
  <si>
    <t>At 294 ft (radio), NPA</t>
  </si>
  <si>
    <t>At 41 ft (radio), NPA</t>
  </si>
  <si>
    <t xml:space="preserve">for 7 sec, Starting from Alt: 385 ft(Alt AAL), Min ROD: 210 fpm at Alt: 380 ft(Alt AAL),
 CAS: 140.3 kt, Ground Speed: 123 kt,Visual app, A/P Not Engaged, Winds: 280.5 deg 19.50 knots, Capt HDG: 277.7 deg </t>
  </si>
  <si>
    <t>B737/25-03/07</t>
  </si>
  <si>
    <t>B737/25-03/08</t>
  </si>
  <si>
    <t>Vr+15.8</t>
  </si>
  <si>
    <t>NITIN DEV SAVLODIA</t>
  </si>
  <si>
    <t>VARUN GUPTA</t>
  </si>
  <si>
    <t>SG 458</t>
  </si>
  <si>
    <t>MAA-DEL</t>
  </si>
  <si>
    <t>MOHIT BHARDWAJ</t>
  </si>
  <si>
    <t>ABHIMANYU JAMWAL.</t>
  </si>
  <si>
    <t>SG 394</t>
  </si>
  <si>
    <t>AYJ-AMD</t>
  </si>
  <si>
    <t>Vref+ 21.5</t>
  </si>
  <si>
    <t>CAS: 161.8, V1: 144, Vr: 146, V2: 149, Flap 5</t>
  </si>
  <si>
    <t>During Descent, at Altitude: 3140 ft(AAL),
 CAS: 208  knots</t>
  </si>
  <si>
    <t>for 4 sec, starting from Altitude: 427 ft(AAL),
 Max ROD: 1095 fpm for 2 sec at 391 ft(AAL), CAS : 153.8 kts , Ground speed :169.5 kts,NPA</t>
  </si>
  <si>
    <t>At 1327 ft (radio), NPA</t>
  </si>
  <si>
    <t>for 10 secs, Deviation started from: 218 ft(AAL),
Max Deviation 1.96 at Altitude: 166 ft(AAL)</t>
  </si>
  <si>
    <t xml:space="preserve"> for 4 secs, Vref: 135, Max CAS: 156.5 kts for 1 sec at Altitude: 184 ft (AAL), A/P Not Engaged, Winds: 323.8 deg 7.5 knots, Capt HDG: 227.8 deg, ILS Approach</t>
  </si>
  <si>
    <t>B737/25-03/09</t>
  </si>
  <si>
    <t>B737/25-03/10</t>
  </si>
  <si>
    <t>B737/25-03/11</t>
  </si>
  <si>
    <t>ROHIT PANDEY</t>
  </si>
  <si>
    <t>VARUN CHOPRA</t>
  </si>
  <si>
    <t>GPWS (TOO LOW FLAPS)</t>
  </si>
  <si>
    <t>ARUN VASHIST</t>
  </si>
  <si>
    <t>MAAZ MOHAMMED</t>
  </si>
  <si>
    <t>for 4 sec, starting from Altitude: 384 ft(AAL),
 Max ROD: 1185 fpm for 1 sec at 365 ft(AAL), CAS : 160.5 kts , Ground speed :185 kts,ILS Approach</t>
  </si>
  <si>
    <t>for 2 sec, Altitude: 216 ft (radio), Landing Flap 15, ILS Approach</t>
  </si>
  <si>
    <t>For 4 sec, Vref: 129 , Max CAS: 152 kts for 1 sec at Altitude: 522 ft (AAL), A/P not Engaged, 
Winds: 324 deg 12.5 knots, Capt HDG: 272.1 deg, ILS Approach</t>
  </si>
  <si>
    <t>During Descent, at Altitude: 1561 ft(AAL),
 CAS: 175.5 knots</t>
  </si>
  <si>
    <t>B737/25-03/12</t>
  </si>
  <si>
    <t>ARIHANT JAIN</t>
  </si>
  <si>
    <t>Vr+17</t>
  </si>
  <si>
    <t>for 4 secs, starting from Altitude: 388 ft(AAL),
 Max ROD: 1168 fpm for 1 sec at 350 ft(radio), CAS: 154 kt, Ground Speed: 163 kt, ILS Approach</t>
  </si>
  <si>
    <t>CAS: 150.5, V1: 132, Vr: 141, V2: 132, Flap 5</t>
  </si>
  <si>
    <t>MAA-IXZ</t>
  </si>
  <si>
    <t>DIVYANG BAJPAI</t>
  </si>
  <si>
    <t>SG 457</t>
  </si>
  <si>
    <t>VNS-BLR</t>
  </si>
  <si>
    <t>SG 940</t>
  </si>
  <si>
    <t>GOP-DEL</t>
  </si>
  <si>
    <t>DIVYANSHU CHATURVEDI</t>
  </si>
  <si>
    <t>Vref+25.5</t>
  </si>
  <si>
    <t>Vref+24.3</t>
  </si>
  <si>
    <t>SG 387</t>
  </si>
  <si>
    <t>BOM-GOP</t>
  </si>
  <si>
    <t>RUPALI RAJESH PHATAK</t>
  </si>
  <si>
    <t>SG 533</t>
  </si>
  <si>
    <t>PAT-AMD</t>
  </si>
  <si>
    <t>Vr+16.8</t>
  </si>
  <si>
    <t>CAS: 157.5 kts, 
Flap 30 Landing, Roll L 1.6 deg</t>
  </si>
  <si>
    <t>At 832 ft (radio), ILS Approach</t>
  </si>
  <si>
    <t xml:space="preserve"> for 5 sec, Vref: 138, Max CAS: 161.5 kts for 1 sec at Altitude: 407 ft (AAL), A/P Not Engaged, Winds: 301 deg 17 knots, Capt HDG: 272.8 deg, ILS Approach</t>
  </si>
  <si>
    <t>for 4 sec, Vref: 136 kts, Max CAS: 160.3 kts
 at Altitude: 41 ft(AAL) for 1 sec, ILS</t>
  </si>
  <si>
    <t>for 5 sec, Deviation started from: 333 ft(AAL), 
Max Deviation 1.23 at Altitude: 304 ft(AAL)</t>
  </si>
  <si>
    <t>CAS: 138.5, V1: 121, Vr: 122, V2: 129, Flap 10</t>
  </si>
  <si>
    <t>B737/25-03/13</t>
  </si>
  <si>
    <t>B737/25-03/14</t>
  </si>
  <si>
    <t>B737/25-03/15</t>
  </si>
  <si>
    <t>B737/25-03/16</t>
  </si>
  <si>
    <t>DHRUV MITAL</t>
  </si>
  <si>
    <t>1317 (Baro)</t>
  </si>
  <si>
    <t>B737/25-03/17</t>
  </si>
  <si>
    <t>At 1216 ft (radio), ILS Approach</t>
  </si>
  <si>
    <t>SG 639</t>
  </si>
  <si>
    <t>IXZ-CCU</t>
  </si>
  <si>
    <t>Pitch Attitude High at Take-off</t>
  </si>
  <si>
    <t>IXZ-MAA</t>
  </si>
  <si>
    <t>ARPIT ASHIT GANDHI</t>
  </si>
  <si>
    <t>SELVA MURUGAN</t>
  </si>
  <si>
    <t>BIHAAG BRAHMBHATT</t>
  </si>
  <si>
    <t>NILESH KUMAR NONHARE</t>
  </si>
  <si>
    <t>MAX EGT/ITT (Continuous) #1</t>
  </si>
  <si>
    <t>oC</t>
  </si>
  <si>
    <t>During Descent, at Altitude: 3901 ft(AAL),
 CAS: 180 knots</t>
  </si>
  <si>
    <t>Flap 5 takeoff, CAS: 150 kt, Vr: 143 kt</t>
  </si>
  <si>
    <t>Flap 5 takeoff, CAS: 151.8 kt, Vr: 142 kt</t>
  </si>
  <si>
    <t>During Descent, at Altitude: 1590 ft(AAL),
 CAS: 157.5 knots</t>
  </si>
  <si>
    <t>During Descent, at Altitude: 1698 ft(AAL),
 CAS: 167.3 knots</t>
  </si>
  <si>
    <t>Flare time (53 feet to touchdown): 16 sec, 
Vref: 138 kt, At 53 ft: CAS 149.5 kt,
 ENG #1 N1: 56.38 ENG #2 N1: 56.6
 At Touch Down: CAS 135.5 kt, ENG #1 N1: 32.25 ENG #2 N1: 32.8</t>
  </si>
  <si>
    <t>for 13 secs, during descent, Max EGT: 966 °C for 1 sec at 904 ft(radio)</t>
  </si>
  <si>
    <t>B737/25-03/18</t>
  </si>
  <si>
    <t>B737/25-03/19</t>
  </si>
  <si>
    <t>B737/25-03/20</t>
  </si>
  <si>
    <t>PANKAJ SOLANKI</t>
  </si>
  <si>
    <t>During Descent, at Altitude: 2016 ft(AAL),
 CAS: 208 knots</t>
  </si>
  <si>
    <t>SAURAV SHAILENDAR</t>
  </si>
  <si>
    <t>At 257 ft(radio), NPA</t>
  </si>
  <si>
    <t>2132 (baro)</t>
  </si>
  <si>
    <t>B737/25-03/21</t>
  </si>
  <si>
    <t>During Descent, at Altitude: 2431 ft(Baro),
 CAS: 177.8 knots</t>
  </si>
  <si>
    <t>PNQ-GOX</t>
  </si>
  <si>
    <t>MINEET QAZI</t>
  </si>
  <si>
    <t>VIPIN HANDA</t>
  </si>
  <si>
    <t>Vr+16.5</t>
  </si>
  <si>
    <t>RUTWIK NITIN TIRPUDE</t>
  </si>
  <si>
    <t>CAS: 154.5, V1: 138, Vr: 138, V2: 141, Flap 5</t>
  </si>
  <si>
    <t>for 4 secs, During Climb, Max MMO 0.817
at Altitude: 31643 ft(Baro) for 3 secs,
Pitch: U 5.1, Roll: R 0.4, CAS: 300 kt, Max Vertical Acc (Air): 1.12 G</t>
  </si>
  <si>
    <t>VIRENDRA MALHOTRA</t>
  </si>
  <si>
    <t>Vr+20</t>
  </si>
  <si>
    <t>B737/25-03/22</t>
  </si>
  <si>
    <t>for 1 sec, At 169 ft(radio),CAS 140 kts Max Rod: 945 fpm at 332ft (radio), ILS Approach</t>
  </si>
  <si>
    <t>for 5 sec, Deviation started from: 239 ft(radio), 
Max Deviation 1.50 at Altitude: 176 ft(radio)</t>
  </si>
  <si>
    <t>CAS: 151, V1: 131,Vr: 131, V2: 134, Flap 5</t>
  </si>
  <si>
    <t>DBR-BLR</t>
  </si>
  <si>
    <t>990 (baro)</t>
  </si>
  <si>
    <t>Deviation Below Glideslope&lt;1000 ft</t>
  </si>
  <si>
    <t>Windshear Warning</t>
  </si>
  <si>
    <t>NAPINDER JEET KAUR</t>
  </si>
  <si>
    <t>B737/25-03/23</t>
  </si>
  <si>
    <t>B737/25-03/24</t>
  </si>
  <si>
    <t>B737/25-03/25</t>
  </si>
  <si>
    <t>Auto Brake applied for 5 sec, 
Max Brake Press Left: 1793 psi for 1 sec Ground Speed: 85.5 kt,
Max Brake Press Right: 2389 psi for 1 sec Ground Speed: 101.5 kt</t>
  </si>
  <si>
    <t xml:space="preserve">At 152 ft (radio),ILS Approach </t>
  </si>
  <si>
    <t>for 2 sec, starting from 209 ft(radio),CAS 141.5 kts Max Rod: 1125fpm, ILS Approach</t>
  </si>
  <si>
    <t>for 8 sec, Deviation started from: 269 ft(radio), 
Max Deviation 2.37at Altitude: 176 ft(radio)</t>
  </si>
  <si>
    <t>for 5 sec, Before Go around, CAS 132 kts</t>
  </si>
  <si>
    <t>Intermmitent for 2 sec, starting from 72 ft(radio),CAS 133.3 kts Max Rod: 960fpm, ILS Approach</t>
  </si>
  <si>
    <t>for 6 sec, Starting from Alt: 503 ft(radio), Min ROD: 180 fpm at Alt: 508 ft(radio),
 CAS: 133.5 kt, Ground Speed: 140 kt, ILS Approach, A/P  Engaged(CMD A), Winds: 271.8 deg 1 knots, Capt HDG: 103 deg</t>
  </si>
  <si>
    <t>SG 445</t>
  </si>
  <si>
    <t>RAJIV SINGH</t>
  </si>
  <si>
    <t>RAHUL SHARMA.</t>
  </si>
  <si>
    <t>CAS: 133.3 knots, V1: 125, Vr: 125, V2: 127, Flap 5</t>
  </si>
  <si>
    <t>DBR-HYD</t>
  </si>
  <si>
    <t>ASHOKKUMAR GYANCHAND TALREJA</t>
  </si>
  <si>
    <t>NEENA SINGH</t>
  </si>
  <si>
    <t>SG 325</t>
  </si>
  <si>
    <t>AYJ-BOM</t>
  </si>
  <si>
    <t>During Descent, at Altitude: 5387 ft(Baro),
 CAS: 180.8  knots</t>
  </si>
  <si>
    <t>During Descent, at Altitude: 3776 ft(Baro),
 CAS: 167  knots</t>
  </si>
  <si>
    <t>During Descent, at Altitude: 4160 ft(Baro),
 CAS: 178.5  knots</t>
  </si>
  <si>
    <t>During Descent, at Altitude: 3823 ft(Baro),
 CAS: 171  knots</t>
  </si>
  <si>
    <t>for 5 sec, starting from Altitude: 496 ft(AAL),
 Max ROD: 1095 fpm for 1 sec at 478 ft(AAL), CAS : 149 kts , Ground speed :161 kts,NPA</t>
  </si>
  <si>
    <t>At 950ft (radio), ILS Approach</t>
  </si>
  <si>
    <t>B737/25-03/26</t>
  </si>
  <si>
    <t>MAX EGT/ITT (Continuous) #2</t>
  </si>
  <si>
    <t>SG 518</t>
  </si>
  <si>
    <t>CCU-BLR</t>
  </si>
  <si>
    <t>SARTHAK PATTNAIK</t>
  </si>
  <si>
    <t>SG 532</t>
  </si>
  <si>
    <t>PAT-BLR</t>
  </si>
  <si>
    <t>Kts</t>
  </si>
  <si>
    <t>JAI LAXMAN BURDE</t>
  </si>
  <si>
    <t>DEEPINDER PAL SINGH WALIA</t>
  </si>
  <si>
    <t>B737/25-03/27</t>
  </si>
  <si>
    <t>B737/25-03/28</t>
  </si>
  <si>
    <t>B737/25-03/29</t>
  </si>
  <si>
    <t>Flap 15 landing, Pitch U 6.0, Roll L 2.5</t>
  </si>
  <si>
    <t>for 4 secs, After Take off, Max EGT: 952 °C for 2 sec at 863 ft(radio)</t>
  </si>
  <si>
    <t>for 3 sec, Max ROD: 495 fpm for 1 sec at 921 ft (radio).</t>
  </si>
  <si>
    <t>for 5 sec, Max Ground Speed: 31.5 kt for 1 sec, 
After Landing</t>
  </si>
  <si>
    <t>During Descent, at Altitude: 2005 ft(Baro),
 CAS: 164.8  knots</t>
  </si>
  <si>
    <t>During Descent, at Altitude: 2976 ft(Baro),
 CAS: 179.5  knots</t>
  </si>
  <si>
    <t>SG 51</t>
  </si>
  <si>
    <t>PNQ-DXB</t>
  </si>
  <si>
    <t>for 8 secs, Deviation started from: 253 ft(Baro), 
Max Deviation 1.68 at Altitude: 158 ft(Baro)</t>
  </si>
  <si>
    <t>for 8 secs, Deviation started from: 3246 ft(Baro), 
Max Deviation 1.21 at Altitude: 3187 ft(Baro)</t>
  </si>
  <si>
    <t>B737/25-03/30</t>
  </si>
  <si>
    <t>B737/25-03/31</t>
  </si>
  <si>
    <t>SG 446</t>
  </si>
  <si>
    <t>VNS-DEL</t>
  </si>
  <si>
    <t>ESHA SOOD</t>
  </si>
  <si>
    <t>CAS: 139 knots, V1: 130, Vr: 131, V2: 135, Flap 5</t>
  </si>
  <si>
    <t>Vr+15.5</t>
  </si>
  <si>
    <t>CAS: 158.5, V1: 141, Vr: 143, V2: 148, Flap 5</t>
  </si>
  <si>
    <t>JONAS DSOUZA</t>
  </si>
  <si>
    <t>138(baro)</t>
  </si>
  <si>
    <t>B737/25-03/32</t>
  </si>
  <si>
    <t>At 0 (radio), ILS Approach</t>
  </si>
  <si>
    <t>SHIVOM SINGH</t>
  </si>
  <si>
    <t>B737/25-03/33</t>
  </si>
  <si>
    <t>At 1815 (radio), ILS Approach</t>
  </si>
  <si>
    <t>440 ft (radio)</t>
  </si>
  <si>
    <t xml:space="preserve"> for 1 sec, at Altitude: 440 ft(radio), During approach</t>
  </si>
  <si>
    <t>CAS: 139.5 knots, V1: 125, Vr: 128, V2: 134, Flap 5</t>
  </si>
  <si>
    <t xml:space="preserve"> for 6 secs, Vref: 137, Max CAS: 159 kts for 1 sec at Altitude: 10631 ft (baro), A/P Not Engaged, Winds: 80.2 deg 15 knots, Capt HDG: 69.3 deg, NPA</t>
  </si>
  <si>
    <t>At 179 ft (radio), NPA</t>
  </si>
  <si>
    <t>At 260 ft (radio), ILS Approach</t>
  </si>
  <si>
    <t>HARISH JAGANNATH SHETTY</t>
  </si>
  <si>
    <t>RISHAB MALHOTRA</t>
  </si>
  <si>
    <t>ANEESH ATOORI</t>
  </si>
  <si>
    <t>VINAY FAUZDAR</t>
  </si>
  <si>
    <t>B737/25-03/34</t>
  </si>
  <si>
    <t>B737/25-03/35</t>
  </si>
  <si>
    <t>B737/25-03/36</t>
  </si>
  <si>
    <t>B737/25-03/37</t>
  </si>
  <si>
    <t>PUNEET SHARMA</t>
  </si>
  <si>
    <t>ROHIT YENU TARI</t>
  </si>
  <si>
    <t>SG 495</t>
  </si>
  <si>
    <t>Vr+</t>
  </si>
  <si>
    <t>AGNEY SHASTRI</t>
  </si>
  <si>
    <t>Vref +18</t>
  </si>
  <si>
    <t>Vref +21.8</t>
  </si>
  <si>
    <t>for 7 sec, Max Ground Speed: 32 kt for 4 sec, 
After Landing</t>
  </si>
  <si>
    <t>During Descent, at Altitude: 3918 ft(Baro),
 CAS: 173.8 Knots</t>
  </si>
  <si>
    <t>Flap 30 selected at: 1650 ft(baro),
Flap 30 reached position at 1557 ft(baro), ILS Approach</t>
  </si>
  <si>
    <t>CAS: 170.3, V1: 151, Vr: 153, V2: 157, Flap 5</t>
  </si>
  <si>
    <t>At 1563 (radio) ft, NPA</t>
  </si>
  <si>
    <t xml:space="preserve"> for 4 sec, Vref: 127, Max CAS: 148.8 kts for 1 sec at Altitude: 221 ft (radio), A/P not Engaged , Winds: 196.2 deg 12 knots, Capt HDG: 269.6 deg, ILS Approach</t>
  </si>
  <si>
    <t>B737/25-03/38</t>
  </si>
  <si>
    <t>B737/25-03/39</t>
  </si>
  <si>
    <t>SG 769</t>
  </si>
  <si>
    <t>1685 (BARO)</t>
  </si>
  <si>
    <t>SADISH SHAKTIVEL ADIDRAVIDAR</t>
  </si>
  <si>
    <t>Vref+22.8</t>
  </si>
  <si>
    <t>SG 139</t>
  </si>
  <si>
    <t>B737/25-03/40</t>
  </si>
  <si>
    <t>At 1054 ft (radio), ILS Approach</t>
  </si>
  <si>
    <t>for 4 sec, starting from Altitude: 347 ft(radio),
 Max ROD: 1170 fpm for 1 sec at 303 ft(radio), NPA</t>
  </si>
  <si>
    <t>For 5 sec, Vref: 136 , Max CAS: 158.8 kts for 1 sec at Altitude: 846 ft (radio), A/P CMD A Engaged, 
Winds: 83.3 deg 7.5 knots, Capt HDG: 276.3 deg, ILS Approach, Flap 30</t>
  </si>
  <si>
    <t>During Descent, at Altitude: 1757 ft(Radio),
 CAS: 175.5  knots</t>
  </si>
  <si>
    <t>SG 901</t>
  </si>
  <si>
    <t>Flare time (45 feet to touchdown): 13 secs, 
Vref: 144 kt, At 45 ft: CAS 157 kt,
 ENG #1 N1: 59.13 ENG #2 N1: 59.3
 At Touch Down: CAS 145.8 kt, ENG #1 N1: 32.22 ENG #2 N1: 32.1</t>
  </si>
  <si>
    <t>B737/25-03/41</t>
  </si>
  <si>
    <t>PNQ-DEL</t>
  </si>
  <si>
    <t>Vr+16.3</t>
  </si>
  <si>
    <t>CAS: 154.3, V1: 141, Vr: 138, V2: 147, Flap 5</t>
  </si>
  <si>
    <t>During Descent, at Altitude: 1826 ft(Radio),
 CAS: 167.25  knots</t>
  </si>
  <si>
    <t>CAS: 158.3, V1: 141, Vr: 142, V2: 147, Flap 5</t>
  </si>
  <si>
    <t>RAHUL SHARMA</t>
  </si>
  <si>
    <t>B737/25-03/42</t>
  </si>
  <si>
    <t>for 4 sec, starting from Altitude: 572 ft(radio),
 Max ROD: 1215 fpm for 1 sec at 556 ft(radio), CAS: 154.8 kts, 
Ground speed: 170.5 kts, ILS Approach</t>
  </si>
  <si>
    <t>SG 729</t>
  </si>
  <si>
    <t>for 3 sec, Max ROD: 1110 fpm for 1 sec at  75 ft(radio)/118 ft (AAL), ILS Approach, Vertical Acceleration Landing: 1.52 G</t>
  </si>
  <si>
    <t>for 3 sec, Max ROD: 1335 fpm for 1 sec at  16 ft(radio)/64 ft (AAL), ILS Approach, Vertical Acceleration Landing: 1.998 G</t>
  </si>
  <si>
    <t>At 162 (radio) ft, NPA</t>
  </si>
  <si>
    <t>Max Brake Press Left: 2385 psi for 1 sec Ground Speed: 100 kt,
Max Brake Press Right: 2162 psi for 1 sec Ground Speed: 91 kt</t>
  </si>
  <si>
    <t>B737/25-03/43</t>
  </si>
  <si>
    <t>B737/25-03/44</t>
  </si>
  <si>
    <t>VNS-HYD</t>
  </si>
  <si>
    <t>SAMSUNDAR ANUP BALLA</t>
  </si>
  <si>
    <t>SG-937</t>
  </si>
  <si>
    <t>Vref+21.8</t>
  </si>
  <si>
    <t>SUDHEER MAINGI</t>
  </si>
  <si>
    <t>Vref+20.8</t>
  </si>
  <si>
    <t>Vref+22.5</t>
  </si>
  <si>
    <t>B737/25-03/45</t>
  </si>
  <si>
    <t>B737/25-03/46</t>
  </si>
  <si>
    <t>for 8 sec, starting from Altitude: 2478 ft(baro),
 Max ROD: 1305 fpm for 1 sec at 2478 ft(baro), CAS: 151 kt, Ground Speed: 166.5 kt, NPA</t>
  </si>
  <si>
    <t xml:space="preserve">for 4 sec, starting from Altitude: 5856 ft(baro),
 Max ROD: 1248 fpm for 1 sec at 5824 ft(baro), CAS: 153.8 kt, Ground Speed: 190 kt, ILS Approach </t>
  </si>
  <si>
    <t xml:space="preserve"> for 4 sec, Vref: 127, Max CAS: 148.8 kts for 1 sec at Altitude: 221 ft (radio), A/P Not Engaged, Winds: 196.2 deg 12.5 knots, Capt HDG: 269.6 deg, Visual Approach</t>
  </si>
  <si>
    <t>for 3 sec, Max ROD: 1200 fpm for 1 sec at 102 ft (radio), Visual Approach, Vertical Acceleration Landing: 1.101 G</t>
  </si>
  <si>
    <t>for 4 sec, Vref: 138 kts, Max CAS: 158.8 kts
 at Altitude: 37 ft(radio) for 1 sec, Visual Approach</t>
  </si>
  <si>
    <t xml:space="preserve"> for 4 sec, Vref: 138, Max CAS: 160.5 kts for 1 sec at Altitude: 269 ft (radio), A/P Not Engaged, Winds: 132.9 deg 14 knots, Capt HDG: 71.7 deg, Visual Approach</t>
  </si>
  <si>
    <t>SG 832</t>
  </si>
  <si>
    <t>DED-BLR</t>
  </si>
  <si>
    <t>Vref+25</t>
  </si>
  <si>
    <t>Vref+29.3</t>
  </si>
  <si>
    <t>SG 9082</t>
  </si>
  <si>
    <t>HYD-AMD</t>
  </si>
  <si>
    <t>Vref + 16.5</t>
  </si>
  <si>
    <t>SG 944</t>
  </si>
  <si>
    <t>BOM-SXR</t>
  </si>
  <si>
    <t>ADITYA SATISH BAKSHI</t>
  </si>
  <si>
    <t>SG 9781</t>
  </si>
  <si>
    <t>DEL-DEL</t>
  </si>
  <si>
    <t>KRITI MATA</t>
  </si>
  <si>
    <t>APEKSHA SINGH.</t>
  </si>
  <si>
    <t>For 4 sec, Vref: 123 , Max CAS: 152.3 kts for 1 sec at Altitude: 1193 ft (radio)/(986 ft (AAL), A/P CMD A Engaged, 
Winds: 129.4 deg 5 knots, Capt HDG: 271.8 deg, ILS Approach, Flap 30</t>
  </si>
  <si>
    <t>for 4 secs, Vref: 125 kts, Max CAS: 141.5 kts
 at Altitude: 30 ft(radio) for 1 sec, ILS Approach</t>
  </si>
  <si>
    <t>During Descent, at Altitude: 4417 ft(Baro),
 CAS: 160.3  knots</t>
  </si>
  <si>
    <t>for 5 sec, starting from Altitude: 158 ft(radio),
 Max ROD: 1200 fpm for 1 sec at 5527 ft(Baro), CAS: 156.3 kt, Ground Speed: 169.5 kt, ILS Approach</t>
  </si>
  <si>
    <t>Flap 30 selected at: 4101 ft(Baro),
Flap 30 reached posn at: 4013 ft(Baro), ILS Approach</t>
  </si>
  <si>
    <t>Flap 25 takeoff, CAS: 146.8 kt, Vr: 130 kt</t>
  </si>
  <si>
    <t>Flap 5 takeoff, CAS: 139.3 kt, Vr: 123 kt</t>
  </si>
  <si>
    <t>CAS: 138.5 knots, V1: 129, Vr: 130, V2: 133, Flap 5</t>
  </si>
  <si>
    <t>B737/25-03/47</t>
  </si>
  <si>
    <t>SG 8496</t>
  </si>
  <si>
    <t>for 4 sec, Max Ground Speed: 31 kt for 4 sec, 
After Landing</t>
  </si>
  <si>
    <t>CAP- SAG FLT OPS</t>
  </si>
  <si>
    <t>SG 8913</t>
  </si>
  <si>
    <t>ANUPAM SHARMA</t>
  </si>
  <si>
    <t>for 4 sec, Max ROD: 1056 fpm for 1 sec at 45 ft (radio), ILS Approach, Vertical Acceleration Landing: 1.33 G</t>
  </si>
  <si>
    <t>B737/25-03/48</t>
  </si>
  <si>
    <t>B737/25-03/49</t>
  </si>
  <si>
    <t>for 5 sec, Vref: 135 kts, Max CAS: 157.8 kts
 at Altitude: 18 ft(radio) for 1 sec, Visual Approach</t>
  </si>
  <si>
    <t>B737/25-03/50</t>
  </si>
  <si>
    <t>for 5 secs, during Takeoff, Max EGT: 952 °C for 1 sec at 782 ft(radio)</t>
  </si>
  <si>
    <t>SG 17</t>
  </si>
  <si>
    <t>DXB-COK</t>
  </si>
  <si>
    <t>1323 (baro)</t>
  </si>
  <si>
    <t>At 1426 ft (radio), ILS Approach</t>
  </si>
  <si>
    <t>B737/25-04/01</t>
  </si>
  <si>
    <t>KARAN PRATAP SINGH VIRK</t>
  </si>
  <si>
    <t>2373 (baro)</t>
  </si>
  <si>
    <t>10688 (baro)</t>
  </si>
  <si>
    <t>At 718 ft (radio), NPA</t>
  </si>
  <si>
    <t>At 126 ft (radio), NPA</t>
  </si>
  <si>
    <t>B737/25-04/02</t>
  </si>
  <si>
    <t>B737/25-04/03</t>
  </si>
  <si>
    <t>B737/25-04/04</t>
  </si>
  <si>
    <t>for 6 sec, Deviation started from: 230 ft(radio),
Max Deviation 2.0 at Altitude: 146 ft(radio)</t>
  </si>
  <si>
    <t>SG 56</t>
  </si>
  <si>
    <t>DXB-ATQ</t>
  </si>
  <si>
    <t>During Descent, at Altitude: 3891 ft(Baro),
 CAS: 176.3 knots</t>
  </si>
  <si>
    <t>Flap 30 selected at: 1906 ft(baro),
Flap 30 reached posn at: 1828  ft(baro), ILS Approach</t>
  </si>
  <si>
    <t>During Descent, at Altitude: 2603 ft(Baro),
 CAS: 188.8 knots</t>
  </si>
  <si>
    <t>SG 914</t>
  </si>
  <si>
    <t>Gear Extension Speed Exceeded</t>
  </si>
  <si>
    <t>Landing Gear Lever Down at 265.8 knots During Descent, at Altitude: 8000 ft(baro)</t>
  </si>
  <si>
    <t>SG 477</t>
  </si>
  <si>
    <t>HARSHIT SINGH</t>
  </si>
  <si>
    <t>B737/25-04/05</t>
  </si>
  <si>
    <t>for 13 secs, After  Takeoff, Max EGT: 963 °C for 1 sec at 269 ft(radio)</t>
  </si>
  <si>
    <t>ANUBHAV KUMAR</t>
  </si>
  <si>
    <t>AADIL MOHAMMADSHAFI GANDHI</t>
  </si>
  <si>
    <t>B737/25-04/06</t>
  </si>
  <si>
    <t>for 35 secs,  After Takeoff, Max EGT: 973 °C for 1 sec at 514 ft(radio)</t>
  </si>
  <si>
    <t>VNS-PNQ</t>
  </si>
  <si>
    <t>ABHIJEET ARUN BHOSALE</t>
  </si>
  <si>
    <t>B737/25-04/07</t>
  </si>
  <si>
    <t>for 16 secs,  After Takeoff, Max EGT: 961 °C for 1 sec at 366 ft(radio)</t>
  </si>
  <si>
    <t>SG 186</t>
  </si>
  <si>
    <t>PNQ-VNS</t>
  </si>
  <si>
    <t>B737/25-04/08</t>
  </si>
  <si>
    <t>for 27 secs,  After Takeoff, Max EGT: 971 °C for 1 sec at 745 ft(radio)</t>
  </si>
  <si>
    <t>SG 479</t>
  </si>
  <si>
    <t>for 5 sec, starting from Altitude: 5773 ft(Baro),
 Max ROD: 1095 fpm for 1 sec at 5736 ft(baro), CAS: 153.5 kt, Ground Speed: 174 kt,  ILS Approach</t>
  </si>
  <si>
    <t>SUNIL PREMCHAND NARWANI</t>
  </si>
  <si>
    <t>SOUMYA SIVA GHOSH</t>
  </si>
  <si>
    <t>SG 947</t>
  </si>
  <si>
    <t>SAG-DEL</t>
  </si>
  <si>
    <t>SG 530</t>
  </si>
  <si>
    <t>AADITYA BHATNAGAR</t>
  </si>
  <si>
    <t>Vref+16.8</t>
  </si>
  <si>
    <t>B737/25-04/09</t>
  </si>
  <si>
    <t>B737/25-04/10</t>
  </si>
  <si>
    <t>B737/25-04/11</t>
  </si>
  <si>
    <t>B737/25-04/12</t>
  </si>
  <si>
    <t>B737/25-04/13</t>
  </si>
  <si>
    <t>B737/25-04/14</t>
  </si>
  <si>
    <t>for 8 sec, starting from Altitude: 2421 ft(baro),
 Max ROD: 1170 fpm for 1 sec at 479 ft(radio), CAS: 160.3 kt, Ground Speed: 174.5 kt, ILS Approach</t>
  </si>
  <si>
    <t>Flap 30 landing, Pitch U 5.6, Roll R 0.7</t>
  </si>
  <si>
    <t>for 6 sec, starting from Altitude: 5776 ft(baro),
 Max ROD: 1185 fpm for 1 sec at 488 ft(radio), CAS: 155 kt, Ground Speed: 170 kt, ILS Approach</t>
  </si>
  <si>
    <t>for 5 sec, starting from Altitude: 1125 ft(baro),
 Max ROD: 1350 fpm for 1 sec at 446 ft(radio), CAS: 144.8 kt, Ground Speed: 142.5 kt, NPA</t>
  </si>
  <si>
    <t>At 302 ft (radio), NPA</t>
  </si>
  <si>
    <t>At 500 ft (radio), ILS Approach</t>
  </si>
  <si>
    <t>At 472 ft (radio), ILS Approach</t>
  </si>
  <si>
    <t>For 4 sec, Vref: 146 kts, Max CAS: 162.8 kts
 at Altitude: 23 ft(radio) for 1 sec, ILS Approach</t>
  </si>
  <si>
    <t>At 961 ft (radio), ILS Approach</t>
  </si>
  <si>
    <t>During Descent, at Altitude: 6195 ft(Baro),
 CAS: 216.5  knots</t>
  </si>
  <si>
    <t>ATR RECEIVED</t>
  </si>
  <si>
    <t>B737/25-04/16</t>
  </si>
  <si>
    <t>Flare time (46 feet to touchdown): 10 sec, 
Vref: 144 kt, At 46 ft: CAS 152.8 kt,
 ENG #1 N1: 53.1 ENG #2 N1: 52.4
 At Touch Down: CAS 146.8 kt, ENG #1 N1: 32.0, ENG #2 N1: 30.8</t>
  </si>
  <si>
    <t>SG 477T</t>
  </si>
  <si>
    <t>GPWS (TOO LOW TERRAIN)</t>
  </si>
  <si>
    <t>B737/25-04/17</t>
  </si>
  <si>
    <t>Intermittent for 8 sec, Starting from 218 ft (radio), Winds: 038 deg 09 knots, Capt HDG: 276.7 deg, Flap15</t>
  </si>
  <si>
    <t>B737/25-04/18</t>
  </si>
  <si>
    <t>At 230 ft (radio), NPA</t>
  </si>
  <si>
    <t>for 2 sec, Max ROD: 1200 fpm for 1 sec at 170 ft (radio), NPA, Vertical Acceleration Landing: 1.449 G</t>
  </si>
  <si>
    <t>for 3 sec, Max ROD: 1095 fpm for 1 sec at 99 ft (radio), ILS Approach, Vertical Acceleration Landing: 1.332 G</t>
  </si>
  <si>
    <t>DED-DEL</t>
  </si>
  <si>
    <t>Stick Shaker</t>
  </si>
  <si>
    <t>SG 161</t>
  </si>
  <si>
    <t>During Descent, at Altitude: 6734 ft (baro), AOA #Right: U 10.0 , AOA #Left: U 13.7 , Pitch: D 3.9 , Roll: R 3.7 , CAS: 171.8 kt,
 Max Vertical Acceleration (Air): 1.59 G, Flaps Up</t>
  </si>
  <si>
    <t>At 504 ft(radio), ILS Approach</t>
  </si>
  <si>
    <t>B737/25-04/19</t>
  </si>
  <si>
    <t>B737/25-04/20</t>
  </si>
  <si>
    <t>IXJ-DEL</t>
  </si>
  <si>
    <t>Excessive Bank on Approach (500-100 ft)</t>
  </si>
  <si>
    <t>During Descent, at Altitude: 3788 ft(Baro),
 CAS: 195.8 Knots</t>
  </si>
  <si>
    <t>During Descent, at Altitude: 2609 ft(Baro),
 CAS: 150.5 Knots</t>
  </si>
  <si>
    <t>During Descent, at Altitude: 428 ft(radio),
 CAS: 145 Knots</t>
  </si>
  <si>
    <t>SG 896</t>
  </si>
  <si>
    <t>AVIN SHARMA</t>
  </si>
  <si>
    <t>B737/25-04/21</t>
  </si>
  <si>
    <t>CAS: 154.5 knots, V1: 142, Vr: 146, V2: 149, Flap 5</t>
  </si>
  <si>
    <t>MAYANK MADAN</t>
  </si>
  <si>
    <t>for 4 sec, Vref: 138 kts, Max CAS: 154.5 kts
 at Altitude: 43 ft(radio) for 1 sec, Visual</t>
  </si>
  <si>
    <t>for 4 sec, starting from Altitude: 448 ft(radio),
 Max ROD: 1170 fpm for 2 sec at 442 ft(radio), NPA</t>
  </si>
  <si>
    <t>VT- SLF</t>
  </si>
  <si>
    <t>SUMIT BHUPTANI</t>
  </si>
  <si>
    <t>SAURABH GULIA</t>
  </si>
  <si>
    <t>Vref + 18</t>
  </si>
  <si>
    <t>Vref + 20</t>
  </si>
  <si>
    <t>Vref + 19</t>
  </si>
  <si>
    <t>SG 162</t>
  </si>
  <si>
    <t>Low Normal Acceleration (Air)</t>
  </si>
  <si>
    <t>B737/25-04/22</t>
  </si>
  <si>
    <t>for 4 sec, starting from Altitude: 370 ft(radio),
 Max ROD: 1184 fpm for 2 sec at 352 ft(radio), CAS: 156 kt, Ground Speed: 171 kt, NPA.</t>
  </si>
  <si>
    <t xml:space="preserve"> for 6 sec, Vref: 146 kts, Max CAS: 166 kts for 1 sec at Altitude: 94 ft (radio), A/P Not Engaged, Winds: 265.4 deg 5.5 knots, Capt HDG: 90 deg, ILS Approach</t>
  </si>
  <si>
    <t>for 7 sec, Vref: 146 kts, Max CAS: 165 kts
 at Altitude: 14 ft(radio) for 1 sec, ILS Approach</t>
  </si>
  <si>
    <t>During Climbing, passing  Altitude: 24325ft (baro), Pitch: U 3.9, Roll: R 5.8, CAS: 249.5 kt, Flaps UP, Max Vertical Acceleration (Air) 1.48 G, Turbulence.</t>
  </si>
  <si>
    <t>Vref + 18.8</t>
  </si>
  <si>
    <t>for 3 sec, Max ROD: 1155 fpm for 1 sec at 80 ft (radio), ILS Approach, Vertical Acceleration Landing: 1.45 G</t>
  </si>
  <si>
    <t>for 4 sec, starting from Altitude: 5594 ft(baro),
 Max ROD: 1200 fpm for 2 sec at 5556 ft(baro), CAS: 155.3 kt, Ground Speed: 174 kt, ILS Approach</t>
  </si>
  <si>
    <t>for 6 sec, Vref: 146 kts, Max CAS: 164.8 kts
 at Altitude: 45 ft(radio) for 1 sec, ILS Approach</t>
  </si>
  <si>
    <t>B737/25-04/23</t>
  </si>
  <si>
    <t>DEL-IXJ</t>
  </si>
  <si>
    <t>SG 160</t>
  </si>
  <si>
    <t>for 31 secs,  After Takeoff, Max EGT: 960 °C for 2 sec at 919 ft(radio)</t>
  </si>
  <si>
    <t>for 3 secs,  After Takeoff, Max EGT: 951 °C for 3 sec at 816 ft(radio)</t>
  </si>
  <si>
    <t>During Descent, at Altitude: 2601 ft(Baro),
 CAS: 146.5 Knots</t>
  </si>
  <si>
    <t>B737/25-04/24</t>
  </si>
  <si>
    <t>B737/25-04/25</t>
  </si>
  <si>
    <t>SG 616</t>
  </si>
  <si>
    <t>DED-AMD</t>
  </si>
  <si>
    <t>B737/25-04/26</t>
  </si>
  <si>
    <t xml:space="preserve"> CAS: 143, V1: 124, Vr: 126 V2: 134</t>
  </si>
  <si>
    <t>for 4 secs, Starting from Alt: 119 ft(radio), Min ROD: 240 fpm at Alt: 115 ft(radio),
 CAS: 152 kt, Ground Speed: 143 kt, ILS Approach, A/P  not engaged, Winds: 107.2 deg 22.5 knots, Capt HDG: 102.7 deg</t>
  </si>
  <si>
    <t>KAPIL KUMAR MANGLIK</t>
  </si>
  <si>
    <t>SG 204</t>
  </si>
  <si>
    <t>Vr+15.3</t>
  </si>
  <si>
    <t>B737/25-04/27</t>
  </si>
  <si>
    <t>At 1140 ft (radio), NPA</t>
  </si>
  <si>
    <t>Flap 5 takeoff, CAS: 139.3 kt, Vr: 124 kt</t>
  </si>
  <si>
    <t>AMD-DED</t>
  </si>
  <si>
    <t>During Descent, at Altitude: 5599 ft(Baro),
 CAS: 210 Knots</t>
  </si>
  <si>
    <t>1080 (baro)</t>
  </si>
  <si>
    <t>SG 506</t>
  </si>
  <si>
    <t>BOM-DED</t>
  </si>
  <si>
    <t>Gear Retraction Speed Exceeded</t>
  </si>
  <si>
    <t>MANU SATYAN</t>
  </si>
  <si>
    <t>5939 (baro)</t>
  </si>
  <si>
    <t>B737/25-04/28</t>
  </si>
  <si>
    <t>B737/25-04/29</t>
  </si>
  <si>
    <t>B737/25-04/30</t>
  </si>
  <si>
    <t>During descent, Landing Gear retracted at 250.3 kts at Altitude: 21167 ft(baro)</t>
  </si>
  <si>
    <t>for 6 sec, starting from Altitude: 5792 ft(baro),
 Max ROD: 1152 fpm for 3 sec at 5760 ft(baro), CAS: 155 kt, Ground Speed: 162.8 kt, ILS Approach</t>
  </si>
  <si>
    <t>During Descent, at Altitude: 2592 ft(Baro),
 CAS: 169.5 Knots</t>
  </si>
  <si>
    <t>During Descent, at Altitude: 3829 ft(Baro),
 CAS: 178.5 Knots</t>
  </si>
  <si>
    <t>At 694 ft (radio), ILS Approach</t>
  </si>
  <si>
    <t>Mistakenly Generated</t>
  </si>
  <si>
    <t>hrust reverser no 2 was on MEL</t>
  </si>
  <si>
    <t>6400 (baro)</t>
  </si>
  <si>
    <t>B737/25-04/31</t>
  </si>
  <si>
    <t>At 958 ft (radio), ILS Approach</t>
  </si>
  <si>
    <t>SG 895</t>
  </si>
  <si>
    <t>ARAVINTH SUBBURAJ</t>
  </si>
  <si>
    <t>Flap 30 selected at: 1181 ft(radio),
Flap 30 reached posn at: 1091 ft(radio), ILS Approach</t>
  </si>
  <si>
    <t>Flap 25 takeoff, CAS: 149.3 kt, Vr: 133 kt</t>
  </si>
  <si>
    <t>Vref+24</t>
  </si>
  <si>
    <t>B737/25-04/32</t>
  </si>
  <si>
    <t>for 4 sec, Vref: 138 kts, Max CAS: 163 kts
 at Altitude: 19 ft(radio) for 1 sec, Visual Approach</t>
  </si>
  <si>
    <t xml:space="preserve"> for 7 sec, Vref: 138, Max CAS: 162 kts for 2 sec at Altitude: 404 ft (radio), A/P not Engaged , Winds: 099.8 deg 1.5 knots, Capt HDG: 059.8 deg, Visual Approach</t>
  </si>
  <si>
    <t>High Taxi Speed (Runway Backtrack)</t>
  </si>
  <si>
    <t>B737/25-04/33</t>
  </si>
  <si>
    <t>For 13 secs, max ground speed 42.5 kts for 5 secs, after landing</t>
  </si>
  <si>
    <t>SG 9956</t>
  </si>
  <si>
    <t>RAJIV KUMAR MENDIRATTA</t>
  </si>
  <si>
    <t>Climb Out Speed Low (35 ft - 400 ft)</t>
  </si>
  <si>
    <t>V2+5</t>
  </si>
  <si>
    <t>V2-2</t>
  </si>
  <si>
    <t>B737/25-04/34</t>
  </si>
  <si>
    <t>for 9 sec, Min CAS: 155 knots at 277 ft(radio), V1: 152, Vr: 154, V2: 157,
 Winds: 289.7 deg 9.50 knots, Capt HDG: 132.9</t>
  </si>
  <si>
    <t>SG 151</t>
  </si>
  <si>
    <t>B737/25-04/35</t>
  </si>
  <si>
    <t>for 31 secs, After  Takeoff, Max EGT: 985 °C for 2 sec at 1026 ft(radio)</t>
  </si>
  <si>
    <t>for 6 sec, starting from Altitude: 498 ft(radio),
 Max ROD: 1125 fpm for 1 sec at 398 ft(radio), CAS: 158 kts, 
Ground speed: 161.5 kts, NPA</t>
  </si>
  <si>
    <t>for 23 secs, After  Takeoff, Max EGT: 961 °C for 4 sec at 995 ft(radio)</t>
  </si>
  <si>
    <t>B737/25-04/36</t>
  </si>
  <si>
    <t>1254 (baro)</t>
  </si>
  <si>
    <t>Activation of flap load relief, During approach, For 13 sec,
Max CAS 164.3 kts for 1 sec at Altitude: 2220 ft(radio),
Max Vertical Acceleration (Air): 1.13 g</t>
  </si>
  <si>
    <t>At 1167 ft (radio), ILS Approach</t>
  </si>
  <si>
    <t>B737/25-04/37</t>
  </si>
  <si>
    <t>B737/25-04/38</t>
  </si>
  <si>
    <t>UR</t>
  </si>
  <si>
    <t>SG 873</t>
  </si>
  <si>
    <t>for 3 sec, Max ROD: 1260 fpm for 1 sec at 27 ft (radio), ILS Approach, Vertical Acceleration Landing: 1.41 G</t>
  </si>
  <si>
    <t>CAS: 157.8 knots, V1: 150, Vr: 153, V2: 156, Flap 5</t>
  </si>
  <si>
    <t>2595 (baro)</t>
  </si>
  <si>
    <t>SG 053</t>
  </si>
  <si>
    <t>6035 (baro)</t>
  </si>
  <si>
    <t>SG 510</t>
  </si>
  <si>
    <t>DED-BOM</t>
  </si>
  <si>
    <t>Vr+19.5</t>
  </si>
  <si>
    <t>B737/25-04/39</t>
  </si>
  <si>
    <t>B737/25-04/40</t>
  </si>
  <si>
    <t>At 1790ft (radio), ILS Approach</t>
  </si>
  <si>
    <t>for 4 sec, starting from Altitude: 413 ft(radio),
 Max ROD: 1110 fpm for 1 sec at 413 ft(radio), ILS Approach</t>
  </si>
  <si>
    <t>CAS: 151.5 , V1: 120, Vr: 132, V2: 141, Flap 25</t>
  </si>
  <si>
    <t>for 5 sec, Vref: 137 kts, Max CAS: 154.3 kts
 at Altitude: 37 ft(radio) for 2 sec, ILS Approach</t>
  </si>
  <si>
    <t>During Descent, at Altitude: 2496 ft(Baro),
 CAS: 169.5 Knots</t>
  </si>
  <si>
    <t>2027 (baro)</t>
  </si>
  <si>
    <t>At 2060 ft (radio), NPA</t>
  </si>
  <si>
    <t>772 (baro)</t>
  </si>
  <si>
    <t>95 (radio)</t>
  </si>
  <si>
    <t>B737/25-04/41</t>
  </si>
  <si>
    <t>B737/25-04/42</t>
  </si>
  <si>
    <t>B737/25-04/43</t>
  </si>
  <si>
    <t>At 824 ft (radio), ILS Approach</t>
  </si>
  <si>
    <t>At 44 ft (radio), ILS Approach</t>
  </si>
  <si>
    <t>Before Go Around, for 3 sec, Max ROD: 1095 fpm for 1 sec at 95 ft (radio), ILS Approach</t>
  </si>
  <si>
    <t>During Descent, at Altitude: 2590 ft(baro),
 CAS: 164.5 knots</t>
  </si>
  <si>
    <t>Flap 40 selected at: 1818 ft (baro)
Flap 40 reached posn at 1740 ft (baro), ILS Approach</t>
  </si>
  <si>
    <t>B737/25-04/44</t>
  </si>
  <si>
    <t>for 5 sec, Max Ground Speed: 31.5 kt for 2 sec, 
Before Takeoff</t>
  </si>
  <si>
    <t>COUNSELLING,WARNING LETTER ISSUED FOR BOTH CREW</t>
  </si>
  <si>
    <t>SG 9345</t>
  </si>
  <si>
    <t>HSU-DEL</t>
  </si>
  <si>
    <t>SAMIR JAGDISH SHAH</t>
  </si>
  <si>
    <t>CAS: 134 , V1: 116, Vr: 117, V2: 121, Flap 5</t>
  </si>
  <si>
    <t>SG 2700</t>
  </si>
  <si>
    <t xml:space="preserve">for 16 sec, Starting from Alt: 402 ft(radio), Min ROD: 60 fpm at Alt: 392 ft(radio),
 CAS: 132 kt, Ground Speed: 117.5 kt, NPA, A/P Not Engaged, Winds: 080.9 deg 18.50 knots, Capt HDG: 069.6 deg </t>
  </si>
  <si>
    <t>B737/25-04/45</t>
  </si>
  <si>
    <t>384 (baro)</t>
  </si>
  <si>
    <t>B737/25-04/46</t>
  </si>
  <si>
    <t>At 414 ft (radio), ILS Approach</t>
  </si>
  <si>
    <t>DXB-JAI</t>
  </si>
  <si>
    <t>Vref +26.8</t>
  </si>
  <si>
    <t>Vref+28.3</t>
  </si>
  <si>
    <t xml:space="preserve"> for 5 sec, Vref: 143, Max CAS: 169.8 kts for 1 sec at Altitude: 248 ft (radio), A/P  Engaged , Winds: 50 deg 24 knots, Capt HDG: 78.4 deg, NPA</t>
  </si>
  <si>
    <t>For 8 sec, Vref: 143 , Max CAS: 171.3 kts for 1 sec at Altitude: 841 ft (radio), A/P CMD A Engaged, 
Winds: 49 deg 27 knots, Capt HDG: 78.8 deg, NPA, Flap 30</t>
  </si>
  <si>
    <t>B737/25-05/01</t>
  </si>
  <si>
    <t>SG 6602</t>
  </si>
  <si>
    <t>MED-BOM</t>
  </si>
  <si>
    <t>JAMSHEED MOHAMMED IBRAHIM SYED</t>
  </si>
  <si>
    <t>Speedbrakes on Approach</t>
  </si>
  <si>
    <t>Wrong exceedance generated, aircraft was at 9000 ft baro, aircraft was not on final approach
Speedbrakes retracted at Altitude: 986 ft(radio)</t>
  </si>
  <si>
    <t>B737/25-05/03</t>
  </si>
  <si>
    <t>B737/25-05/02- D</t>
  </si>
  <si>
    <t>SG 505</t>
  </si>
  <si>
    <t>BOM-IXB</t>
  </si>
  <si>
    <r>
      <t>During Cruise, at Altitude: 36617 ft (baro), AOA #Right: U 10.4, AOA #Left: U 9.3 , Pitch: U 6.3 , Roll: R 2.3 , CAS: 226.8 kt,
 Max Vertical Acceleratio</t>
    </r>
    <r>
      <rPr>
        <sz val="11"/>
        <rFont val="Calibri"/>
        <family val="2"/>
        <scheme val="minor"/>
      </rPr>
      <t xml:space="preserve">n (Air): 1.69 </t>
    </r>
    <r>
      <rPr>
        <sz val="11"/>
        <color theme="1"/>
        <rFont val="Calibri"/>
        <family val="2"/>
        <scheme val="minor"/>
      </rPr>
      <t>G, Flaps Up</t>
    </r>
  </si>
  <si>
    <t>VIJAY HOODA</t>
  </si>
  <si>
    <t>SG 174</t>
  </si>
  <si>
    <t>BOM-CCJ</t>
  </si>
  <si>
    <t>for 5 secs, Vref: 133 kts, Max CAS: 149.5 kts
 at Altitude: 34 ft(radio) for 1 sec, Visual Approach</t>
  </si>
  <si>
    <t>During Descent, at Altitude: 7993 ft(baro),
 CAS: 170 knots</t>
  </si>
  <si>
    <t>During Descent, at Altitude: 3091 ft(baro),
 CAS: 190 knots</t>
  </si>
  <si>
    <t>During Descent, at Altitude: 2613 ft(baro),
 CAS: 168.3 knots</t>
  </si>
  <si>
    <t>SG 116</t>
  </si>
  <si>
    <t>DBR-BOM</t>
  </si>
  <si>
    <t>Vref +22.8</t>
  </si>
  <si>
    <t>B737/25-05/04</t>
  </si>
  <si>
    <t xml:space="preserve"> for 4 sec, Vref: 128, Max CAS: 150.8 kts for 1 sec at Altitude: 176 ft (radio), A/P not Engaged , Winds: 209.5 deg 4.5 knots, Capt HDG: 267.2 deg, ILS Approach</t>
  </si>
  <si>
    <t>During Descent, at Altitude: 5610 ft(baro),
 CAS: 198.8 knots</t>
  </si>
  <si>
    <t>ABHIMANYU JAMWAL</t>
  </si>
  <si>
    <t>During Descent, at Altitude: 3321 ft(baro),
 CAS: 173 knots</t>
  </si>
  <si>
    <t>for 2 secs, Max ROD: 1005 fpm for 1 sec at 98 ft (radio), NPA, Vertical Acceleration Landing: 1.478 G</t>
  </si>
  <si>
    <t>SHIRIN ABDUL HAMEED PASHA</t>
  </si>
  <si>
    <t>B737/25-05/05</t>
  </si>
  <si>
    <t>CAS : 143.8 kts, Flap 5, V1 : 133, Vr : 135, V2 : 138 kts</t>
  </si>
  <si>
    <t>SG 54Z</t>
  </si>
  <si>
    <t>MAX EGT/ITT (Continuous)#2</t>
  </si>
  <si>
    <t>Intermittent for 2 sec, Max ROD: 1290 fpm for 1 sec at  49 ft(radio), ILS Approach, Vertical Acceleration Landing: 1.295 G</t>
  </si>
  <si>
    <t>for 6 secs, After  Takeoff, Max EGT: 952 °C for 4 sec at 794 ft(radio)</t>
  </si>
  <si>
    <t>At 379 ft(radio), ILS Approach</t>
  </si>
  <si>
    <t>B737/25-05/06</t>
  </si>
  <si>
    <t>B737/25-05/07</t>
  </si>
  <si>
    <t>1743 (baro)</t>
  </si>
  <si>
    <t>SG 42</t>
  </si>
  <si>
    <t>KTM-DEL</t>
  </si>
  <si>
    <t>At 1013 ft (radio), ILS Approach</t>
  </si>
  <si>
    <t>Before go around, for 1 sec, during approach, Max CAS 164 kts for 1 sec at Altitude: 797 ft(radio), Max Vertical Acceleration (Air): 1.39 G</t>
  </si>
  <si>
    <t>for 32 secs, During Takeoff, Max EGT: 955 °C for 5 secs at 1364 ft(radio)</t>
  </si>
  <si>
    <t>B737/25-05/08</t>
  </si>
  <si>
    <t>B737/25-05/09</t>
  </si>
  <si>
    <t>SG 18</t>
  </si>
  <si>
    <t>COK-DXB</t>
  </si>
  <si>
    <t>VY-SYZ</t>
  </si>
  <si>
    <t>PARIZAD FIRDOS VIMADALAL</t>
  </si>
  <si>
    <t>Vr+17.5</t>
  </si>
  <si>
    <t>During Descent, at Altitude: 3835 ft(baro),
 CAS: 180.2 knots</t>
  </si>
  <si>
    <t>CAS: 161.5, V1: 138, Vr: 144, V2: 147, Flap 5</t>
  </si>
  <si>
    <t>ur</t>
  </si>
  <si>
    <t>for 1 sec, During Descent, Max MMO 0.816
at Altitude: 31465 ft(Baro) for 1 sec,
Pitch: D 2.8, Roll: R 0.2, CAS: 300.8 kt, Max Vertical Acc (Air): 1.51 G</t>
  </si>
  <si>
    <t>SG 8018</t>
  </si>
  <si>
    <t>B737/25-05/10</t>
  </si>
  <si>
    <t>CAS: 139.5 kts, 
Flap 30 Landing, Roll L 0.5 deg</t>
  </si>
  <si>
    <t>SG 8157</t>
  </si>
  <si>
    <t>Vref+27.2</t>
  </si>
  <si>
    <t>B737/25-05/11</t>
  </si>
  <si>
    <t>for 4 sec, Vref: 122 kts, Max CAS: 149.2 kts
 at Altitude: 956 ft(radio) for 1 sec, ILS Approach</t>
  </si>
  <si>
    <t>Flap 30 selected at: 985 ft(baro),
Flap 30 reached position at 908 ft(baro), ILS Approach</t>
  </si>
  <si>
    <t>During Descent, at Altitude: 4618 ft(baro),
 CAS: 119.5 knots</t>
  </si>
  <si>
    <t>Oc</t>
  </si>
  <si>
    <t>B737/25-05/12</t>
  </si>
  <si>
    <t>for 11 secs,  After Takeoff, Max EGT: 958 °C for 1 sec at 1100 ft(radio)</t>
  </si>
  <si>
    <t>SG 41</t>
  </si>
  <si>
    <t>DEL-KTM</t>
  </si>
  <si>
    <t>SANJIV MIDHA</t>
  </si>
  <si>
    <t>High Rate of Descent (1000-500 ft)</t>
  </si>
  <si>
    <t>B737/25-05/13</t>
  </si>
  <si>
    <t>for 6 sec, starting from Altitude: 5312 ft(baro),
 Max ROD: 1856 fpm for 2 sec at 5280 ft(baro), CAS: 145.2 kt, Ground Speed: 184 kt, NPA</t>
  </si>
  <si>
    <t>SG 831</t>
  </si>
  <si>
    <t>BLR-DED</t>
  </si>
  <si>
    <t>VAIBHAV SINGH</t>
  </si>
  <si>
    <t>At 1996 ft (radio), NPA</t>
  </si>
  <si>
    <t>for 4 sec, starting from Altitude: 367 ft(radio),
 Max ROD: 1140 fpm for 1 sec at 324 ft(radio), NPA</t>
  </si>
  <si>
    <t>B737/25-05/14</t>
  </si>
  <si>
    <t>B737/25-05/15</t>
  </si>
  <si>
    <t>2602 (baro)</t>
  </si>
  <si>
    <t>for 7 sec, Deviation started from: 449 ft(radio), 
Max Deviation 2.09 at Altitude: 398 ft(radio)</t>
  </si>
  <si>
    <t>SG 478</t>
  </si>
  <si>
    <t>SG 15</t>
  </si>
  <si>
    <t>AMD-DXB</t>
  </si>
  <si>
    <t>Vref +24.5</t>
  </si>
  <si>
    <t>SG 6411</t>
  </si>
  <si>
    <t>MED-FJR</t>
  </si>
  <si>
    <t>SG 9616</t>
  </si>
  <si>
    <t xml:space="preserve">ANUBHAV KUMAR
</t>
  </si>
  <si>
    <t>3985 (Baro)</t>
  </si>
  <si>
    <t>SOUMIK MITRA</t>
  </si>
  <si>
    <t>Vref + 17.8</t>
  </si>
  <si>
    <t>PRASHAM HARICHARAN BANSAL</t>
  </si>
  <si>
    <t>Vr+18</t>
  </si>
  <si>
    <t>SG 948</t>
  </si>
  <si>
    <t>PAT-BOM</t>
  </si>
  <si>
    <t>B737/25-05/16</t>
  </si>
  <si>
    <t>B737/25-05/17</t>
  </si>
  <si>
    <t>B737/25-05/18</t>
  </si>
  <si>
    <t>Flare time (46 feet to touchdown): 10 sec, 
Vref: 144 kt, At 46 ft: CAS 151 kt,
 ENG #1 N1: 49 ENG #2 N1: 46.8
 At Touch Down: CAS 138.5 kt, ENG #1 N1: 29, ENG #2 N1: 29.6</t>
  </si>
  <si>
    <t>for 4 sec, Starting from Alt: 134 ft(radio), Min ROD: 255 fpm at Alt: 134 ft(radio),
 CAS: 141 kt, Ground Speed: 139 kt, NPA, A/P not  Engaged, Winds: 120.2 deg 8.5 knots, Capt HDG: 105.5 deg</t>
  </si>
  <si>
    <t>For 8 sec, Vref: 122 kts, Max CAS: 144.5 kts
 at Altitude: 124 ft(radio) for 2 sec, NPA</t>
  </si>
  <si>
    <t>For 5 sec, Vref: 122 kts, Max CAS: 144.5 kts
 at Altitude: 34 ft(radio) for 1 sec, NPA</t>
  </si>
  <si>
    <t>for 12 sec, Max Ground Speed: 31.5 kt for 1 sec, 
After Landing</t>
  </si>
  <si>
    <t xml:space="preserve"> for 5 sec, Vref: 137, Max CAS: 161.5 kts for 1 sec at Altitude: 247 ft (radio), A/P not Engaged , Winds: 282.9 deg 15 knots, Capt HDG: 271.3 deg, ILS Approach</t>
  </si>
  <si>
    <t>During Descent, at Altitude: 3040 ft(baro),
 CAS: 222.2 knots</t>
  </si>
  <si>
    <t>Flap 30 selected at: 3985 ft(baro),
Flap 30 reached position at 3901 ft(baro), ILS Approach</t>
  </si>
  <si>
    <t>for 5 secs, Vref: 147 kts, Max CAS: 164.8 kts
 at Altitude: 20 ft(radio) for 1 sec, NPA</t>
  </si>
  <si>
    <t>During Descent, at Altitude: 3622 ft(baro),
 CAS: 177.8 knots</t>
  </si>
  <si>
    <t>CAS: 160, V1: 140, Vr: 142, V2: 149, Flap 10</t>
  </si>
  <si>
    <t>CAS: 154, V1: 137, Vr: 138, V2: 146, Flap 5</t>
  </si>
  <si>
    <t>B737/25-05/19</t>
  </si>
  <si>
    <t>Disreagrd</t>
  </si>
  <si>
    <t>Long landing(Disregard)</t>
  </si>
  <si>
    <t>B737/25-05/20</t>
  </si>
  <si>
    <t>Counselling,NFA</t>
  </si>
  <si>
    <t>SG 158</t>
  </si>
  <si>
    <t>1004 (baro)</t>
  </si>
  <si>
    <t>B737/25-05/21</t>
  </si>
  <si>
    <t>At 288 ft(radio), NPA</t>
  </si>
  <si>
    <t>for 6 sec, starting from Altitude: 1421 ft(baro),
 Max ROD: 1485 fpm for 1 sec at 1367 ft(baro), CAS: 132.8 kt, Ground Speed: 146.5 kt, NPA</t>
  </si>
  <si>
    <t>warning letter issued</t>
  </si>
  <si>
    <t>SG 9067</t>
  </si>
  <si>
    <t>1280 (baro)</t>
  </si>
  <si>
    <t>At 615 ft(radio), NPA</t>
  </si>
  <si>
    <t>B737/25-05/22</t>
  </si>
  <si>
    <t>for 4 sec, starting from Altitude: 536 ft(radio),
 Max ROD: 1136 fpm for 1 sec at 526 ft(radio), NPA</t>
  </si>
  <si>
    <t>SG 9100</t>
  </si>
  <si>
    <t>BOM-GOX</t>
  </si>
  <si>
    <t>1477 (baro)</t>
  </si>
  <si>
    <t>1376 (baro)</t>
  </si>
  <si>
    <t>Flap 30 selected at: 1477 ft(baro),
Flap 30 reached position at 1406 ft(baro), ILS Approach</t>
  </si>
  <si>
    <t>for 4 sec, Vref: 130 kts, Max CAS: 155.5 kts
 at Altitude: 1477 ft(baro) for 3 sec, ILS Approach</t>
  </si>
  <si>
    <t>Flap 30 landing, Pitch U 2.8, Roll L 2.5</t>
  </si>
  <si>
    <t>At 728 ft(radio), ILS Approach</t>
  </si>
  <si>
    <t>B737/25-05/23</t>
  </si>
  <si>
    <t>B737/25-05/24</t>
  </si>
  <si>
    <t>B737/25-05/25</t>
  </si>
  <si>
    <t>SG 529</t>
  </si>
  <si>
    <t>BLR-GOX</t>
  </si>
  <si>
    <t>Vref + 19.8</t>
  </si>
  <si>
    <t>At 633 ft (radio), ILS Approach</t>
  </si>
  <si>
    <t>At 229 ft (radio), ILS Approach</t>
  </si>
  <si>
    <t>for 4 secs, Vref: 137 kts, Max CAS: 156.8 kts
 at Altitude: 10 ft(radio) for 1 sec, NPA</t>
  </si>
  <si>
    <t>B737/25-05/26</t>
  </si>
  <si>
    <t>B737/25-05/27</t>
  </si>
  <si>
    <t>B737/25-05/28</t>
  </si>
  <si>
    <t>SG 13</t>
  </si>
  <si>
    <t>BOM-DXB</t>
  </si>
  <si>
    <t>1614 (baro)</t>
  </si>
  <si>
    <t>B737/25-05/29</t>
  </si>
  <si>
    <t xml:space="preserve">At 1610 ft (radio), NPA </t>
  </si>
  <si>
    <t>SG 56D</t>
  </si>
  <si>
    <t>DXB-DEL</t>
  </si>
  <si>
    <t>1197 (baro)</t>
  </si>
  <si>
    <t>B737/25-05/30</t>
  </si>
  <si>
    <t xml:space="preserve">At 473 ft (radio), NPA </t>
  </si>
  <si>
    <t>1803 (baro)</t>
  </si>
  <si>
    <t xml:space="preserve">At 1139 ft (radio), NPA </t>
  </si>
  <si>
    <t>SG 9091</t>
  </si>
  <si>
    <t>for 5 sec, starting from Altitude: 5589 ft(baro),
 Max ROD: 1140 fpm for 1 sec at 5570 ft(baro), ILS Approach</t>
  </si>
  <si>
    <t>ADITYA SHARMA POTHURI</t>
  </si>
  <si>
    <t>B737/25-05/31</t>
  </si>
  <si>
    <t>For 8 secs, max ground speed 43 kts for 1 sec, before take-off</t>
  </si>
  <si>
    <t xml:space="preserve">Go around 1st </t>
  </si>
  <si>
    <t xml:space="preserve">Go around 2nd </t>
  </si>
  <si>
    <t>1055 (baro)</t>
  </si>
  <si>
    <t>B737/25-05/32</t>
  </si>
  <si>
    <t>B737/25-05/33</t>
  </si>
  <si>
    <t>At 483 ft (radio), NPA.</t>
  </si>
  <si>
    <t>for 1 sec, Max Bank: R 8.3 at Altitude: 199 ft(radio),
 CAS: 164.8 kt, Flap: 5</t>
  </si>
  <si>
    <t>During Descent, at Altitude: 2175 ft(Baro),
 CAS: 239.2  knots</t>
  </si>
  <si>
    <t>RUPALI PIMPLE</t>
  </si>
  <si>
    <t>Unstick Speed High</t>
  </si>
  <si>
    <t>V2 +25</t>
  </si>
  <si>
    <t>V2 +29.2</t>
  </si>
  <si>
    <t>Early Config Change After Take-off (FLAP)</t>
  </si>
  <si>
    <t>CAS: 155.2 knots, V1: 120, Vr: 124, V2: 126, Flap 5,
 Winds: 259.8 deg 9 knots, Capt HDG: 270.4</t>
  </si>
  <si>
    <t>At 1532 ft (radio), NPA</t>
  </si>
  <si>
    <t>Flap 1 selected from Flap 5 at 1426 ft(Baro)</t>
  </si>
  <si>
    <t>B737/25-05/34</t>
  </si>
  <si>
    <t>B737/25-05/35</t>
  </si>
  <si>
    <t>B737/25-05/36</t>
  </si>
  <si>
    <t>NAVIN NARSINGHRAO SABUNKAR</t>
  </si>
  <si>
    <t>GPWS (WINDSHEAR)</t>
  </si>
  <si>
    <t>B737/25-05/37</t>
  </si>
  <si>
    <t>for 38 secs, After  Takeoff, Max EGT: 964 °C for 1 sec at 1213 ft(radio)</t>
  </si>
  <si>
    <t>for 23 sec, After Take-off at 84 ft (radio), CAS 198.2 kts</t>
  </si>
  <si>
    <t>Counselling, NFA</t>
  </si>
  <si>
    <t>ASHISH MAHESHKUMAR MAYANI</t>
  </si>
  <si>
    <t>SG 9050</t>
  </si>
  <si>
    <t>AMD-CCU</t>
  </si>
  <si>
    <t>for 1 sec, Max Bank: L 8.4 at Altitude: 339 ft(radio),
 CAS: 176.8 kt, Flap: 5</t>
  </si>
  <si>
    <t>B737/25-05/38</t>
  </si>
  <si>
    <t>B737/25-05/39</t>
  </si>
  <si>
    <t>CAS: 134 kts, 
Flap 40 Landing, Roll L 1.1 deg</t>
  </si>
  <si>
    <t>SG 115</t>
  </si>
  <si>
    <t>During climb, Landing Gear retracted at 230.5 kts at Altitude: 3304 ft(baro)</t>
  </si>
  <si>
    <t>Vr+20.2</t>
  </si>
  <si>
    <t>CAS: 162.2, V1: 132, Vr: 142, V2: 148, Flap 10</t>
  </si>
  <si>
    <t>At 760 ft (radio), ILS Approach</t>
  </si>
  <si>
    <t>B737/25-05/40</t>
  </si>
  <si>
    <t>Vr+16.2</t>
  </si>
  <si>
    <t>Vref + 24.2</t>
  </si>
  <si>
    <t>Vref+23.5</t>
  </si>
  <si>
    <t>CAS: 162.2, V1: 144, Vr: 146, V2: 152, Flap 5</t>
  </si>
  <si>
    <t xml:space="preserve"> for 8 secs, Vref: 131, Max CAS: 155.2 kts for 1 sec at Altitude: 80 ft (Baro), A/P not Engaged , Winds: 243.3 deg 11.5 knots, Capt HDG: 267.5 deg, ILS Approach</t>
  </si>
  <si>
    <t>for 4 secs, Vref: 131 kts, Max CAS: 154.5 kts
 at Altitude: 44 ft(radio) for 1 sec, ILS Approach</t>
  </si>
  <si>
    <t>for 4 sec, Deviation started from: 353 ft(radio), 
Max Deviation 1.12 at Altitude: 343 ft(radio)</t>
  </si>
  <si>
    <t>B737/25-05/41</t>
  </si>
  <si>
    <t>B737/25-05/42</t>
  </si>
  <si>
    <t>SG 126</t>
  </si>
  <si>
    <t>Flap 30 selected at: 1486 ft(baro),
Flap 30 reached posn at 1424 ft(baro), ILS Approach</t>
  </si>
  <si>
    <t>Vref+29</t>
  </si>
  <si>
    <t>For 16 sec, Vref: 130 , Max CAS: 159 kts for 1 sec at Altitude: 1359 ft (baro), A/P Engaged, 
Winds: 187.7 deg 2.5 knots, Capt HDG: 001.4 deg, ILS Approach</t>
  </si>
  <si>
    <t>SG 145</t>
  </si>
  <si>
    <t>DOMNIC ANAND STANISLAUS</t>
  </si>
  <si>
    <t>for 4 sec, starting from Altitude: 488 ft(radio),
 Max ROD: 1125 fpm for 2 sec at 468 ft(radio), NPA</t>
  </si>
  <si>
    <t>CAS: 163.5, V1: 146, Vr: 148, V2: 153, Flap 10</t>
  </si>
  <si>
    <t>GAURI MANCHANDA</t>
  </si>
  <si>
    <t>1819 (baro)/
1102 (AFE)</t>
  </si>
  <si>
    <t>Flap 30 selected at: 1819 ft(baro),
Flap 30 reached posn at 1718 ft(baro), ILS Approach</t>
  </si>
  <si>
    <t>SG 58D</t>
  </si>
  <si>
    <t>1376 (BARO)</t>
  </si>
  <si>
    <t>1408 (BARO)</t>
  </si>
  <si>
    <t>B737/25-05/43</t>
  </si>
  <si>
    <t>At 157 ft (radio), NPA</t>
  </si>
  <si>
    <t>At 200 ft (radio), NPA</t>
  </si>
  <si>
    <t>18 ft (radio)/1983 ft (baro)</t>
  </si>
  <si>
    <t>for 5 sec, starting from Altitude: 4800 ft(baro),
 Max ROD: 1360 fpm for 1 sec at 4736 ft(baro), CAS: 142 kt, Ground Speed: 154 kt, NPA</t>
  </si>
  <si>
    <t>Flap 30 landing, Pitch U 6.5, Roll L 0.5</t>
  </si>
  <si>
    <t>for 3 secs, Max ROD: 1155 fpm for 1 sec at 18 ft (radio), NPA, Max Vertical Acceleration Landing: 2.124 G</t>
  </si>
  <si>
    <t>B737/25-06/01</t>
  </si>
  <si>
    <t>B737/25-06/02</t>
  </si>
  <si>
    <t>Olym Roy</t>
  </si>
  <si>
    <t>Shraddha Sharma</t>
  </si>
  <si>
    <t>Vref + 19.5</t>
  </si>
  <si>
    <t>for 4 secs, Vref: 144 kts, Max CAS: 163.5 kts
 at Altitude: 50 ft(radio) for 1 sec, ILS Approach</t>
  </si>
  <si>
    <t>SG 24</t>
  </si>
  <si>
    <t>DXB-IXM</t>
  </si>
  <si>
    <t>Climb Out Speed Low (400 ft - 800 ft)</t>
  </si>
  <si>
    <t>V2+15</t>
  </si>
  <si>
    <t>V2-4.2</t>
  </si>
  <si>
    <t>for 12 sec, Min CAS: 168.8 knots at 815 ft(Baro)/755 ft (AFE), V1: 166, Vr: 169, V2: 173,
 Winds: 207 deg 11.50 knots, Capt HDG: 120.2</t>
  </si>
  <si>
    <t>B737/25-06/03</t>
  </si>
  <si>
    <t>SG 131</t>
  </si>
  <si>
    <t>BOM-COK</t>
  </si>
  <si>
    <t>75 (baro)</t>
  </si>
  <si>
    <t>SG 199</t>
  </si>
  <si>
    <t>2181 (baro)</t>
  </si>
  <si>
    <t>SG 9922</t>
  </si>
  <si>
    <t>AMD-AMD</t>
  </si>
  <si>
    <t>ASHISH DAGAR</t>
  </si>
  <si>
    <t>Climb Out Speed Low (&lt;35 ft)</t>
  </si>
  <si>
    <t>V2-7.8</t>
  </si>
  <si>
    <t>SG 9911</t>
  </si>
  <si>
    <t>SHREENATH RAJU NAIR</t>
  </si>
  <si>
    <t>V2-9.5</t>
  </si>
  <si>
    <t>B737/25-06/04</t>
  </si>
  <si>
    <t>B737/25-06/05</t>
  </si>
  <si>
    <t>During Descent, at Altitude: 2006 ft(Baro),
 CAS: 172  knots</t>
  </si>
  <si>
    <t>At 46 ft (radio), ILS Approach</t>
  </si>
  <si>
    <t>At 1599 ft (radio), ILS Approach</t>
  </si>
  <si>
    <t>for 9 sec, Min CAS: 131.2 knots at 0 ft(radio), 175 ft (baro) V1: 137, Vr: 137, V2: 139,
 Winds: 282.7 deg 5.50 knots, Capt HDG: 226.8</t>
  </si>
  <si>
    <t>for 10 sec, Min CAS: 133.5 knots at 0 ft(radio), 158 ft (baro) V1: 140, Vr: 140, V2: 143,
 Winds: 266.5 deg 3.50 knots, Capt HDG: 226.4</t>
  </si>
  <si>
    <t>B737/25-06/06</t>
  </si>
  <si>
    <t>B737/25-06/07</t>
  </si>
  <si>
    <t>for 1 sec, starting from Altitude: 4165 ft (baro),
 Max. Bank: R 37.8 at Altitude: 4165 ft(baro), CAS: 232.8 kts, Flaps up</t>
  </si>
  <si>
    <t>B737/25-06/08</t>
  </si>
  <si>
    <t>SG 169</t>
  </si>
  <si>
    <t>GAU-DEL</t>
  </si>
  <si>
    <t>1001 (BARO)</t>
  </si>
  <si>
    <t>SG 127</t>
  </si>
  <si>
    <t>Vref+17.5</t>
  </si>
  <si>
    <t>At 52 ft (radio), NPA.</t>
  </si>
  <si>
    <t>for 7 sec, Vref: 137 kts, Max CAS: 154.5 kts
 at Altitude: 26  ft(radio) for 1 sec, Visual Approach</t>
  </si>
  <si>
    <t>During Descent, at Altitude: 10886 ft(baro),
 CAS: 150.2 knots</t>
  </si>
  <si>
    <t>Duration</t>
  </si>
  <si>
    <t>Max Deviation</t>
  </si>
  <si>
    <t>Deviation Altitude</t>
  </si>
  <si>
    <t>Max CAS (Knots)</t>
  </si>
  <si>
    <t>Max ROD (fpm)</t>
  </si>
  <si>
    <t>Altitude (Generic)</t>
  </si>
  <si>
    <t>Band (Red/Amber)</t>
  </si>
  <si>
    <t>Row Labels</t>
  </si>
  <si>
    <t>Grand Total</t>
  </si>
  <si>
    <t>Count of EXCEEDANCE</t>
  </si>
  <si>
    <t>Date</t>
  </si>
  <si>
    <t>Quarter</t>
  </si>
  <si>
    <t>Place of Exceedance</t>
  </si>
  <si>
    <t>Phase</t>
  </si>
  <si>
    <t>AMD</t>
  </si>
  <si>
    <t>AYJ</t>
  </si>
  <si>
    <t>BKK</t>
  </si>
  <si>
    <t>BLR</t>
  </si>
  <si>
    <t>BOM</t>
  </si>
  <si>
    <t>CCJ</t>
  </si>
  <si>
    <t>CCU</t>
  </si>
  <si>
    <t>COK</t>
  </si>
  <si>
    <t>DBR</t>
  </si>
  <si>
    <t>DED</t>
  </si>
  <si>
    <t>DEL</t>
  </si>
  <si>
    <t>DXB</t>
  </si>
  <si>
    <t>GOP</t>
  </si>
  <si>
    <t>GOX</t>
  </si>
  <si>
    <t>HYD</t>
  </si>
  <si>
    <t>IXB</t>
  </si>
  <si>
    <t>IXD</t>
  </si>
  <si>
    <t>IXJ</t>
  </si>
  <si>
    <t>IXL</t>
  </si>
  <si>
    <t>IXZ</t>
  </si>
  <si>
    <t>JAI</t>
  </si>
  <si>
    <t>KTM</t>
  </si>
  <si>
    <t>MAA</t>
  </si>
  <si>
    <t>PAT</t>
  </si>
  <si>
    <t>PNQ</t>
  </si>
  <si>
    <t>SXR</t>
  </si>
  <si>
    <t>VNS</t>
  </si>
  <si>
    <t>Column Labels</t>
  </si>
  <si>
    <t>Climb</t>
  </si>
  <si>
    <t>Taxi</t>
  </si>
  <si>
    <t>Quarter2</t>
  </si>
  <si>
    <t>Captain + Exceedances</t>
  </si>
  <si>
    <t>F/O + Exceedances</t>
  </si>
  <si>
    <t>ABHIJEET ARUN BHOSALE | MAX EGT/ITT (Continuous) #1</t>
  </si>
  <si>
    <t>ADITYA KOLATHKAR | Low Rate of Descent (&lt;1000 ft)</t>
  </si>
  <si>
    <t>ADITYA KOLHATKAR | Low Rate of Descent (&lt;1000 ft)</t>
  </si>
  <si>
    <t>ALKESH AJAYKUMAR NAIR | Go around</t>
  </si>
  <si>
    <t>ALKESH AJAYKUMAR NAIR | Late Thrust Reverser Deployment</t>
  </si>
  <si>
    <t>ALKESH AJAYKUMAR NAIR | Low Rate of Descent (&lt;1000 ft)</t>
  </si>
  <si>
    <t>ALOK KUMAR GARG | Deviation Below Glideslope (&lt;1000 ft)</t>
  </si>
  <si>
    <t>ALOK KUMAR GARG | GPWS (GLIDESLOPE)</t>
  </si>
  <si>
    <t>AMALENDU | Excessive Bank after Take-off (0-400 ft)</t>
  </si>
  <si>
    <t>AMALENDU | Go around</t>
  </si>
  <si>
    <t>AMALENDU | Long landing(Disregard)</t>
  </si>
  <si>
    <t>AMALENDU | MAX EGT/ITT (Continuous) #1</t>
  </si>
  <si>
    <t>AMAN  JAIN | Deviation Below Glideslope (&lt;1000 ft)</t>
  </si>
  <si>
    <t>AMAN  JAIN | Go around</t>
  </si>
  <si>
    <t>AMAN  JAIN | Long Landing</t>
  </si>
  <si>
    <t>ANAND MURTHY TIWARI | Deviation Above Glideslope (&lt;1000 ft)</t>
  </si>
  <si>
    <t>ANAND MURTHY TIWARI | Go around</t>
  </si>
  <si>
    <t>ANAND MURTHY TIWARI | High Rate of Descent (500-100 ft)</t>
  </si>
  <si>
    <t>ANAND MURTHY TIWARI | Max Landing Weight</t>
  </si>
  <si>
    <t>ANEESH ATOORI | High Rate of Descent (500-100 ft)</t>
  </si>
  <si>
    <t>ANEESH ATOORI | MAX EGT/ITT (Continuous) #2</t>
  </si>
  <si>
    <t>ANIL ARORA | Deviation Below Glideslope (&lt;1000 ft)</t>
  </si>
  <si>
    <t>ANIL ARORA | Localizer Deviation (&lt;1000 ft)</t>
  </si>
  <si>
    <t>ANUBHAV KUMAR
 | Late Landing Flap</t>
  </si>
  <si>
    <t>ANUBHAV KUMAR | MAX EGT/ITT (Continuous) #1</t>
  </si>
  <si>
    <t>ARIHANT JAIN | MAX EGT/ITT (Continuous) #2</t>
  </si>
  <si>
    <t>ARIHANT JAIN | MAX EGT/ITT (Continuous)#2</t>
  </si>
  <si>
    <t xml:space="preserve">ARPIT ASHIT GANDHI | Go around 1st </t>
  </si>
  <si>
    <t xml:space="preserve">ARPIT ASHIT GANDHI | Go around 2nd </t>
  </si>
  <si>
    <t>ARUN VASHIST | Climb Out Speed Low (&lt;35 ft)</t>
  </si>
  <si>
    <t>ARVINDER SINGH | Deviation Below Glideslope (&lt;1000 ft)</t>
  </si>
  <si>
    <t>ARVINDER SINGH | High Rate of Descent (500-100 ft)</t>
  </si>
  <si>
    <t>ARVINDER SINGH | MAX EGT/ITT (Continuous) #2</t>
  </si>
  <si>
    <t>ASHEESH GUPTA | Go around</t>
  </si>
  <si>
    <t>ASHISH JAYASWAL | Approach Speed High (&lt;50 ft)</t>
  </si>
  <si>
    <t>ASHISH JAYASWAL | Approach Speed High (500-50 ft)</t>
  </si>
  <si>
    <t>ASHISH JAYASWAL | Pitch Attitude Low at Landing</t>
  </si>
  <si>
    <t>ASHISH MAHESHKUMAR MAYANI | Excessive Bank after Take-off (&gt;400 ft)</t>
  </si>
  <si>
    <t>ASHISH MAHESHKUMAR MAYANI | MAX EGT/ITT (Continuous) #2</t>
  </si>
  <si>
    <t>ASHOKKUMAR GYANCHAND TALREJA | Flap Placard Speed Exceeded</t>
  </si>
  <si>
    <t>BHUSHAN SHAILESH SHAH | Go around</t>
  </si>
  <si>
    <t>BIHAAG BRAHMBHATT | Long Landing</t>
  </si>
  <si>
    <t>CHARAN SINGH CHOUDHARY | Approach Speed High (&lt;50 ft)</t>
  </si>
  <si>
    <t>CHARAN SINGH CHOUDHARY | Approach Speed High (500- 50 ft)</t>
  </si>
  <si>
    <t>CHARAN SINGH CHOUDHARY | Approach Speed High (500-50 ft)</t>
  </si>
  <si>
    <t>CHARAN SINGH CHOUDHARY | Go around 1st</t>
  </si>
  <si>
    <t>CHARAN SINGH CHOUDHARY | Go around 2nd</t>
  </si>
  <si>
    <t>CHARAN SINGH CHOUDHARY | High Rate of Descent (500-100 ft)</t>
  </si>
  <si>
    <t>CHIRAG PRAKASH VANWARI | Deviation Below Glideslope (&lt;1000 ft)</t>
  </si>
  <si>
    <t>CHIRAG PRAKASH VANWARI | GPWS (GLIDESLOPE)</t>
  </si>
  <si>
    <t>DARSHAN DALAL | Deviation Below Glideslope (&lt;1000 ft)</t>
  </si>
  <si>
    <t>DARSHAN DALAL | GPWS (GLIDESLOPE)</t>
  </si>
  <si>
    <t>DHRUV MITAL | Approach Speed High (&lt;50 ft)</t>
  </si>
  <si>
    <t>DHRUV MITAL | Approach Speed High (500-50 ft)</t>
  </si>
  <si>
    <t>DHRUV MITAL | High Vertical Acceleration (Landing)</t>
  </si>
  <si>
    <t>DIVYANSHU CHATURVEDI | Approach Speed High (500-50 ft)</t>
  </si>
  <si>
    <t>DIVYANSHU CHATURVEDI | Go around</t>
  </si>
  <si>
    <t>DIVYANSHU CHATURVEDI | MAX EGT/ITT (Continuous) #2</t>
  </si>
  <si>
    <t>DRON THAKUR | Flap 15 Speed Exceeded</t>
  </si>
  <si>
    <t>FARZAND SINGH | Approach Speed High (500-50 ft)</t>
  </si>
  <si>
    <t>HARICHARAN SATYANARAYAN BANSAL | Approach Speed High (500- 50 ft)</t>
  </si>
  <si>
    <t>HARICHARAN SATYANARAYAN BANSAL | High Rate of Descent (500-100 ft)</t>
  </si>
  <si>
    <t>HARINDER SINGH | Long landing</t>
  </si>
  <si>
    <t>HIMANI SAREEN | Deviation Below Glideslope&lt;1000 ft</t>
  </si>
  <si>
    <t>HIMANI SAREEN | Go around</t>
  </si>
  <si>
    <t>HIMANI SAREEN | GPWS (GLIDESLOPE)</t>
  </si>
  <si>
    <t>HIMANI SAREEN | Late Thrust Reverser Deployment</t>
  </si>
  <si>
    <t>HIMANI SAREEN | Stick Shaker</t>
  </si>
  <si>
    <t>HIMANI SAREEN | Windshear Warning</t>
  </si>
  <si>
    <t>ISHAN SHARMA. | Early Config Change After Take-off (FLAP)</t>
  </si>
  <si>
    <t>ISHAN SHARMA. | Long landing</t>
  </si>
  <si>
    <t>JAMSHEED MOHAMMED IBRAHIM SYED | Speedbrakes on Approach</t>
  </si>
  <si>
    <t>JATIN CHANDRAKANT MER | Deviation Below Glideslope (&lt;1000 ft)</t>
  </si>
  <si>
    <t>JATIN CHANDRAKANT MER | Stick Shaker</t>
  </si>
  <si>
    <t>JONAS DSOUZA | Go around</t>
  </si>
  <si>
    <t>KAPIL KUMAR MANGLIK | Low Rate of Descent (&lt;1000 ft)</t>
  </si>
  <si>
    <t>KUNAL HITEN PARIKH | Go around</t>
  </si>
  <si>
    <t>MAHENDRA KUVARJI CHHEDA | Approach Speed High (1000-500 ft)</t>
  </si>
  <si>
    <t>MAHENDRA KUVARJI CHHEDA | Climb Out Speed Low (400 ft - 800 ft)</t>
  </si>
  <si>
    <t>MAHENDRA KUVARJI CHHEDA | Flap Placard Speed Exceeded</t>
  </si>
  <si>
    <t>MAHENDRA KUVARJI CHHEDA | Late Landing Flap</t>
  </si>
  <si>
    <t>MAHENDRA KUVARJI CHHEDA | Low Rate of Descent (&lt;1000 ft)</t>
  </si>
  <si>
    <t>MAHENDRA KUVARJI CHHEDA | Pitch Rate High During Take-off (Average)</t>
  </si>
  <si>
    <t>MANABENDRA DEKA | Excessive Bank after Take-off (0-400 ft)</t>
  </si>
  <si>
    <t>MANABENDRA DEKA | Go around</t>
  </si>
  <si>
    <t>MANAS CHATTERJEE | Approach Speed High (1000-500 ft)</t>
  </si>
  <si>
    <t>MANAS CHATTERJEE | High Rate of Descent (500-100 ft)</t>
  </si>
  <si>
    <t>MANAS CHATTERJEE | MAX EGT/ITT (Continuous) #2</t>
  </si>
  <si>
    <t>MANAS CHATTERJEE | MMO Exceeded</t>
  </si>
  <si>
    <t>MANDEEP KAUR. | Go around</t>
  </si>
  <si>
    <t>MANDEEP KAUR. | Low Normal Acceleration (Air)</t>
  </si>
  <si>
    <t>MOHIT BHARDWAJ | Deviation Above Glideslope (&lt;1000 ft)</t>
  </si>
  <si>
    <t>MOHIT BHARDWAJ | Go around</t>
  </si>
  <si>
    <t>MOHIT BHARDWAJ | Pitch Attitude Low at Landing</t>
  </si>
  <si>
    <t>MOHIT KUMAR | GPWS (GLIDESLOPE)</t>
  </si>
  <si>
    <t>MOHIT KUMAR | Late Thrust Reverser Deployment</t>
  </si>
  <si>
    <t>MOHIT KUMAR | Low Rate of Descent (&lt;1000 ft)</t>
  </si>
  <si>
    <t>NADEEM AHMAD | Go around</t>
  </si>
  <si>
    <t>NEENA SINGH | Long landing</t>
  </si>
  <si>
    <t>NILESH KUMAR NONHARE | Go around</t>
  </si>
  <si>
    <t>NILESH KUMAR NONHARE | High Taxi Speed (Straight)</t>
  </si>
  <si>
    <t>NILESH KUMAR NONHARE | Long Landing</t>
  </si>
  <si>
    <t>NILESH KUMAR NONHARE | MAX EGT/ITT (Continuous) #1</t>
  </si>
  <si>
    <t>NIMISH KUMAR SINGH | Go around</t>
  </si>
  <si>
    <t>NITIN DEV SAVLODIA | Approach Speed High (500-50 ft)</t>
  </si>
  <si>
    <t>NITIN DEV SAVLODIA | High Taxi Speed (Straight)</t>
  </si>
  <si>
    <t>OLYM ROY | GPWS (PULL UP)</t>
  </si>
  <si>
    <t>OLYM ROY | GPWS (TERRAIN)</t>
  </si>
  <si>
    <t>OLYM ROY | High Taxi Speed (Straight)</t>
  </si>
  <si>
    <t>Olym Roy | High Vertical Acceleration (Landing)</t>
  </si>
  <si>
    <t>PARITOSH KUMAR SINGH | Approach Speed High (&lt;50 ft)</t>
  </si>
  <si>
    <t>PARITOSH KUMAR SINGH | Approach Speed High (500-50 ft)</t>
  </si>
  <si>
    <t>PARITOSH KUMAR SINGH | Deviation Below Glideslope (&lt;1000 ft)</t>
  </si>
  <si>
    <t>PARITOSH KUMAR SINGH | Low Rate of Descent (&lt;1000 ft)</t>
  </si>
  <si>
    <t>PAVANDEEP SINGH BHASIN | Go around</t>
  </si>
  <si>
    <t>PAVANDEEP SINGH BHASIN | Low Rate of Descent (&lt;1000 ft)</t>
  </si>
  <si>
    <t>PRATIK KHAIRMODE | Excessive Bank after Take-off (0-400 ft)</t>
  </si>
  <si>
    <t>PUNEET SHARMA | Go around</t>
  </si>
  <si>
    <t>PUNEET SHARMA | High Rate of Descent (500-100 ft)</t>
  </si>
  <si>
    <t>PUNEET SHARMA | MAX EGT/ITT (Continuous) #2</t>
  </si>
  <si>
    <t>RAHUL SHARMA | High Rate of Descent (500-100 ft)</t>
  </si>
  <si>
    <t>RAHUL SHARMA. | High Rate of Descent (1000-500 ft)</t>
  </si>
  <si>
    <t>RAHUL SHARMA. | High Rate of Descent (500-100 ft)</t>
  </si>
  <si>
    <t>RAJIV KUMAR MENDIRATTA | Climb Out Speed Low (35 ft - 400 ft)</t>
  </si>
  <si>
    <t>RAJIV MOHAN | Go around 1st</t>
  </si>
  <si>
    <t>RAJIV MOHAN | Go around 2nd</t>
  </si>
  <si>
    <t>RAJIV MOHAN | Pitch Attitude Low at Landing</t>
  </si>
  <si>
    <t>RAJIV SINGH | Go around</t>
  </si>
  <si>
    <t>RASHMI SHARMA | Go around</t>
  </si>
  <si>
    <t>RASHMI SHARMA | GPWS (TOO LOW TERRAIN)</t>
  </si>
  <si>
    <t>RASHMI SHARMA | Low Rate of Descent (&lt;1000 ft)</t>
  </si>
  <si>
    <t>RASHMI SHARMA | Pitch Rate High During Take-off (Average)</t>
  </si>
  <si>
    <t>RAVINDER CHAWLA | Go around</t>
  </si>
  <si>
    <t>RUPALI PIMPLE | Unstick Speed High</t>
  </si>
  <si>
    <t>RUPALI RAJESH PHATAK | Deviation Below Glideslope (&lt;1000 ft)</t>
  </si>
  <si>
    <t>SAGAR SHEGOANKAR | Go around</t>
  </si>
  <si>
    <t>SAHIL TALWAR | Deviation Below Glideslope (&lt;1000 ft)</t>
  </si>
  <si>
    <t>SAHIL TALWAR | GPWS (GLIDESLOPE)</t>
  </si>
  <si>
    <t>SAHIL TALWAR | Pitch Attitude High at Take-off</t>
  </si>
  <si>
    <t>SANJEEV KUMAR | Approach Speed High (1000-500 ft)</t>
  </si>
  <si>
    <t>SANJEEV KUMAR | Approach Speed High (500-50 ft)</t>
  </si>
  <si>
    <t>SANJEEV KUMAR | Gear Retraction Speed Exceeded</t>
  </si>
  <si>
    <t>SANJEEV KUMAR | Go around</t>
  </si>
  <si>
    <t>SANJEEV KUMAR | Go around 1st</t>
  </si>
  <si>
    <t>SANJEEV KUMAR | Go around 2nd</t>
  </si>
  <si>
    <t>SANJEEV KUMAR | Late Landing Flap</t>
  </si>
  <si>
    <t>SANKET MAHESH MARULKAR | High Rate of Descent (500-100 ft)</t>
  </si>
  <si>
    <t>SANKET MAHESH MARULKAR | MAX EGT/ITT (Continuous) #1</t>
  </si>
  <si>
    <t>SAURABH SARKAR | Go around</t>
  </si>
  <si>
    <t>SAURAV CHAKRABARTY | Deviation Below Glideslope (&lt;1000 ft)</t>
  </si>
  <si>
    <t>SHAKTI SATYAKUMAR KAUSHAL | Deviation Below Glideslope (&lt;1000 ft)</t>
  </si>
  <si>
    <t>SHAKTI SATYAKUMAR KAUSHAL | Flap Placard Speed Exceeded</t>
  </si>
  <si>
    <t>SHAKTI SATYAKUMAR KAUSHAL | Go around</t>
  </si>
  <si>
    <t>SHAKTI SATYAKUMAR KAUSHAL | GPWS (GLIDESLOPE)</t>
  </si>
  <si>
    <t>SNEH DEEP | Thrust Reverser Not Deployed</t>
  </si>
  <si>
    <t>SNEHA SHEKHAWAT | Deviation Below Glideslope (&lt;1000 ft)</t>
  </si>
  <si>
    <t>SNEHA SHEKHAWAT | Excessive Bank after Take-off (0-400 ft)</t>
  </si>
  <si>
    <t>SNEHA SHEKHAWAT | GPWS (GLIDESLOPE)</t>
  </si>
  <si>
    <t>SNEHA SHEKHAWAT | Late Thrust Reverser Deployment</t>
  </si>
  <si>
    <t>SOUMYA SIVA GHOSH | Go around</t>
  </si>
  <si>
    <t>SOUMYA SIVA GHOSH | High Rate of Descent (500-100 ft)</t>
  </si>
  <si>
    <t>SUDHIR SHARMA | Approach Speed High (500-50 ft)</t>
  </si>
  <si>
    <t>SUDHIR SHARMA | Deviation Below Glideslope (&lt;1000 ft)</t>
  </si>
  <si>
    <t>SUDHIR SHARMA | GPWS (GLIDESLOPE)</t>
  </si>
  <si>
    <t>SUDHIR SHARMA | Late Landing Flap</t>
  </si>
  <si>
    <t>SUDHIR SHARMA | Pitch Attitude Low at Landing</t>
  </si>
  <si>
    <t>SURABHI | Pitch Rate High During Take-off (Average)</t>
  </si>
  <si>
    <t>SURYA BIR SINGH | Go around</t>
  </si>
  <si>
    <t>TANMAY GANESH KELUSKAR | Exceesive Bank After take-off &gt;400 ft</t>
  </si>
  <si>
    <t>TANMAY GANESH KELUSKAR | Flap 30 Speed Exceeded</t>
  </si>
  <si>
    <t>TANMAY GANESH KELUSKAR | High Rate of Descent (500-100 ft)</t>
  </si>
  <si>
    <t>TANMAY GANESH KELUSKAR | High Taxi Speed (Runway Backtrack)</t>
  </si>
  <si>
    <t>TEJAS SALUJA | Deviation Below Glideslope (&lt;1000 ft)</t>
  </si>
  <si>
    <t>TEJAS SALUJA | High Taxi Speed (Straight)</t>
  </si>
  <si>
    <t>VARUN GUPTA | Go around</t>
  </si>
  <si>
    <t>VARUN GUPTA | MAX EGT/ITT (Continuous) #2</t>
  </si>
  <si>
    <t>VINAY KUMAR SINGH | Go around</t>
  </si>
  <si>
    <t>VINAY KUMAR SINGH | High Rate of Descent (500-100 ft)</t>
  </si>
  <si>
    <t>VINAYDEEP BILHATIYA | Early Autopilot Engagement</t>
  </si>
  <si>
    <t>VINAYDEEP BILHATIYA | Go around</t>
  </si>
  <si>
    <t>AADIL MOHAMMADSHAFI GANDHI | MAX EGT/ITT (Continuous) #1</t>
  </si>
  <si>
    <t>AADIL MOHAMMADSHAFI GANDHI | MAX EGT/ITT (Continuous)#2</t>
  </si>
  <si>
    <t>ABHIMANYU JAMWAL. | Go around</t>
  </si>
  <si>
    <t>ABHISHEK PANDURANG PHALKE | Late Thrust Reverser Deployment</t>
  </si>
  <si>
    <t>ADITYA SATISH BAKSHI | Stick Shaker</t>
  </si>
  <si>
    <t>ADITYA SHARMA POTHURI | High Taxi Speed (Runway Backtrack)</t>
  </si>
  <si>
    <t>ADNAN ABDUL JABBAR | Exceesive Bank After take-off &gt;400 ft</t>
  </si>
  <si>
    <t>AKASH SANDHU | Go around</t>
  </si>
  <si>
    <t>AKASH SANDHU | Long Landing</t>
  </si>
  <si>
    <t>AKASH SANDHU | MAX EGT/ITT (Continuous) #1</t>
  </si>
  <si>
    <t>AKSHEY SOOD | Approach Speed High (1000-500 ft)</t>
  </si>
  <si>
    <t>AKSHEY SOOD | Deviation Below Glideslope (&lt;1000 ft)</t>
  </si>
  <si>
    <t>AKSHEY SOOD | Go around</t>
  </si>
  <si>
    <t>ALHAD SUDHIR PHADKE | Flap Placard Speed Exceeded</t>
  </si>
  <si>
    <t>ALHAD SUDHIR PHADKE | Go around</t>
  </si>
  <si>
    <t>ALHAD SUDHIR PHADKE | Long landing</t>
  </si>
  <si>
    <t>ALOK KUMAR GARG | Localizer Deviation (&lt;1000 ft)</t>
  </si>
  <si>
    <t>AMALENDU | Long Landing</t>
  </si>
  <si>
    <t>AMALENDU | Low Rate of Descent (&lt;1000 ft)</t>
  </si>
  <si>
    <t>AMEYA DINESH PUJARI | MAX EGT/ITT (Continuous) #1</t>
  </si>
  <si>
    <t>ANIL ARORA | Go around</t>
  </si>
  <si>
    <t>ANIRUDH KRISHNA | Go around</t>
  </si>
  <si>
    <t>ANIRUDH KRISHNA | High Taxi Speed (Straight)</t>
  </si>
  <si>
    <t>ANJUL PRAVEEN TOPPO | Go around</t>
  </si>
  <si>
    <t>ANKUR BALANA | High Rate of Descent (500-100 ft)</t>
  </si>
  <si>
    <t>ANKUR BALANA | Pitch Attitude Low at Landing</t>
  </si>
  <si>
    <t>ANSHU SHARMA | Pitch Attitude Low at Landing</t>
  </si>
  <si>
    <t>ANTARA PURI | Deviation Below Glideslope (&lt;1000 ft)</t>
  </si>
  <si>
    <t>ANTARA PURI | Go around</t>
  </si>
  <si>
    <t>ANTARA PURI | High Rate of Descent (500-100 ft)</t>
  </si>
  <si>
    <t>ANUPAM SHARMA. | Approach Speed High (500- 50 ft)</t>
  </si>
  <si>
    <t>ANUPAM SHARMA. | Deviation Above Glideslope (&lt;1000 ft)</t>
  </si>
  <si>
    <t>ANUPAM SHARMA. | High Rate of Descent (500-100 ft)</t>
  </si>
  <si>
    <t>APEKSHA SINGH. | Approach Speed High (1000-500 ft)</t>
  </si>
  <si>
    <t>APEKSHA SINGH. | Late Landing Flap</t>
  </si>
  <si>
    <t>ARUN VASHIST | Go around</t>
  </si>
  <si>
    <t>ASHISH DAGAR | Climb Out Speed Low (&lt;35 ft)</t>
  </si>
  <si>
    <t>ASHISH MISTRY | Pitch Rate High During Take-off (Average)</t>
  </si>
  <si>
    <t>ASHLESH BAPURAO SHINDE | Deviation Below Glideslope (&lt;1000 ft)</t>
  </si>
  <si>
    <t>ASHLESH BAPURAO SHINDE | High Taxi Speed (Straight)</t>
  </si>
  <si>
    <t>AVIN SHARMA | Pitch Rate High During Take-off (Average)</t>
  </si>
  <si>
    <t>AYAAN AHMED SIDDIQUI | Flap 15 Speed Exceeded</t>
  </si>
  <si>
    <t>BHAKTI KIRAN BAGARIA | Deviation Below Glideslope (&lt;1000 ft)</t>
  </si>
  <si>
    <t>BHUSHAN SHAILESH SHAH | Approach Speed High (500-50 ft)</t>
  </si>
  <si>
    <t>CHETNA SEHRAWAT | Excessive Bank after Take-off (0-400 ft)</t>
  </si>
  <si>
    <t>CHIRAG PRAKASH VANWARI | Go around</t>
  </si>
  <si>
    <t>DEEPINDER PAL SINGH WALIA | Long landing(Disregard)</t>
  </si>
  <si>
    <t>DIVYANG BAJPAI | Excessive Bank after Take-off (&gt;400 ft)</t>
  </si>
  <si>
    <t>DIVYANG BAJPAI | Low Rate of Descent (&lt;1000 ft)</t>
  </si>
  <si>
    <t>DIVYANG BAJPAI | Pitch Attitude Low at Landing</t>
  </si>
  <si>
    <t>DIVYANSHU CHATURVEDI | High Taxi Speed (Straight)</t>
  </si>
  <si>
    <t>HARSHIT SINGH | MAX EGT/ITT (Continuous) #1</t>
  </si>
  <si>
    <t>KAMAL KUMAR | High Taxi Speed (Straight)</t>
  </si>
  <si>
    <t>KARAN MALHOTRA | Deviation Above Glideslope (&lt;1000 ft)</t>
  </si>
  <si>
    <t>KARAN MALHOTRA | Go around 1st</t>
  </si>
  <si>
    <t>KARAN MALHOTRA | Go around 2nd</t>
  </si>
  <si>
    <t>KARAN MALHOTRA | Low Normal Acceleration (Air)</t>
  </si>
  <si>
    <t>KARAN PRATAP SINGH VIRK | Climb Out Speed Low (400 ft - 800 ft)</t>
  </si>
  <si>
    <t>KARAN PRATAP SINGH VIRK | Speedbrakes on Approach</t>
  </si>
  <si>
    <t>MAAZ MOHAMMED | Approach Speed High (1000-500 ft)</t>
  </si>
  <si>
    <t>MAAZ MOHAMMED | Late Landing Flap</t>
  </si>
  <si>
    <t>MANISH SINGH | Go around</t>
  </si>
  <si>
    <t>MOHIT KADIAN | High Rate of Descent (500-100 ft)</t>
  </si>
  <si>
    <t>MOHIT KUMAR | Go around</t>
  </si>
  <si>
    <t>NAMIT DANG | Go around</t>
  </si>
  <si>
    <t>NAMIT DANG | Long Landing</t>
  </si>
  <si>
    <t>NAMITA SHRIPAL CHAURASIA | Deviation Below Glideslope (&lt;1000 ft)</t>
  </si>
  <si>
    <t>NAMITA SHRIPAL CHAURASIA | Flap Placard Speed Exceeded</t>
  </si>
  <si>
    <t>NAMITA SHRIPAL CHAURASIA | Go around 1st</t>
  </si>
  <si>
    <t>NAMITA SHRIPAL CHAURASIA | Go around 2nd</t>
  </si>
  <si>
    <t>NAMITA SHRIPAL CHAURASIA | High Rate of Descent (500-100 ft)</t>
  </si>
  <si>
    <t>NANCY NAYYAR | Go around</t>
  </si>
  <si>
    <t>NANCY NAYYAR | Late Landing Flap</t>
  </si>
  <si>
    <t>NANCY NAYYAR | Late Thrust Reverser Deployment</t>
  </si>
  <si>
    <t>NAPINDER JEET KAUR | GPWS (GLIDESLOPE)</t>
  </si>
  <si>
    <t>NAPINDER JEET KAUR | Low Rate of Descent (&lt;1000 ft)</t>
  </si>
  <si>
    <t>NAVIN NARSINGHRAO SABUNKAR | Approach Speed High (&lt;50 ft)</t>
  </si>
  <si>
    <t>NAVIN NARSINGHRAO SABUNKAR | Approach Speed High (500-50 ft)</t>
  </si>
  <si>
    <t>NAVIN NARSINGHRAO SABUNKAR | MAX EGT/ITT (Continuous) #2</t>
  </si>
  <si>
    <t>NIKHIL CHAWLA | Deviation Below Glideslope (&lt;1000 ft)</t>
  </si>
  <si>
    <t>NIKHIL CHAWLA | Go around</t>
  </si>
  <si>
    <t>NIKHIL CHAWLA | GPWS (GLIDESLOPE)</t>
  </si>
  <si>
    <t>NIKHIL CHAWLA | High Taxi Speed (Straight)</t>
  </si>
  <si>
    <t>NIKHIL NARENDRA KOTHARI | Deviation Below Glideslope (&lt;1000 ft)</t>
  </si>
  <si>
    <t>NIKHIL NARENDRA KOTHARI | MAX EGT/ITT (Continuous) #2</t>
  </si>
  <si>
    <t>NITISH SINGH | Deviation Below Glideslope (&lt;1000 ft)</t>
  </si>
  <si>
    <t>NITISH SINGH | GPWS (TOO LOW TERRAIN)</t>
  </si>
  <si>
    <t>NITISH SINGH | Low Rate of Descent (&lt;1000 ft)</t>
  </si>
  <si>
    <t>PARAS JYOT SINGH AHLUWALIA | Deviation Below Glideslope (&lt;1000 ft)</t>
  </si>
  <si>
    <t>PARAS JYOT SINGH AHLUWALIA | GPWS (GLIDESLOPE)</t>
  </si>
  <si>
    <t>PRASAD RAVINDRA MANIYAR | MAX EGT/ITT (Continuous) #2</t>
  </si>
  <si>
    <t>PRASHAM HARICHARAN BANSAL | Early Config Change After Take-off (FLAP)</t>
  </si>
  <si>
    <t>PRITAM HINDUJA | Approach Speed High (&lt;50 ft)</t>
  </si>
  <si>
    <t>PRITAM HINDUJA | Approach Speed High (500-50 ft)</t>
  </si>
  <si>
    <t>PRITAM HINDUJA | Go around</t>
  </si>
  <si>
    <t>PRITAM HINDUJA | High Vertical Acceleration (Landing)</t>
  </si>
  <si>
    <t>RACHITA MATTA | Approach Speed High (&lt;50 ft)</t>
  </si>
  <si>
    <t>RACHITA MATTA | Early Autopilot Engagement</t>
  </si>
  <si>
    <t>RAJIB CHOWDHURY | Late Thrust Reverser Deployment</t>
  </si>
  <si>
    <t>RAKSHITA MALIK | Deviation Below Glideslope&lt;1000 ft</t>
  </si>
  <si>
    <t>RAKSHITA MALIK | Go around</t>
  </si>
  <si>
    <t>RAKSHITA MALIK | GPWS (GLIDESLOPE)</t>
  </si>
  <si>
    <t>RAKSHITA MALIK | Pitch Attitude Low at Landing</t>
  </si>
  <si>
    <t>RAKSHITA MALIK | Windshear Warning</t>
  </si>
  <si>
    <t>RITURAJ JAISWAL | Excessive Bank after Take-off (0-400 ft)</t>
  </si>
  <si>
    <t>RITURAJ JAISWAL | MAX EGT/ITT (Continuous) #2</t>
  </si>
  <si>
    <t>ROHIT PANDEY | Excessive Bank after Take-off (0-400 ft)</t>
  </si>
  <si>
    <t>ROHIT PANDEY | High Rate of Descent (500-100 ft)</t>
  </si>
  <si>
    <t>ROHIT YENU TARI | MAX EGT/ITT (Continuous) #1</t>
  </si>
  <si>
    <t>ROHIT YENU TARI | MAX EGT/ITT (Continuous) #2</t>
  </si>
  <si>
    <t>RONNY SINGH | Approach Speed High (&lt;50 ft)</t>
  </si>
  <si>
    <t>RONNY SINGH | Approach Speed High (500-50 ft)</t>
  </si>
  <si>
    <t>RONNY SINGH | Low Rate of Descent (&lt;1000 ft)</t>
  </si>
  <si>
    <t>RONNY SINGH | Pitch Attitude Low at Landing</t>
  </si>
  <si>
    <t>ROSHYA SEBI | MAX EGT/ITT (Continuous) #2</t>
  </si>
  <si>
    <t>RUCHIR MANDAVIA | Deviation Below Glideslope (&lt;1000 ft)</t>
  </si>
  <si>
    <t>RUCHIR MANDAVIA | Gear Retraction Speed Exceeded</t>
  </si>
  <si>
    <t>RUCHIR MANDAVIA | GPWS (GLIDESLOPE)</t>
  </si>
  <si>
    <t>RUCHIR MANDAVIA | High Rate of Descent (500-100 ft)</t>
  </si>
  <si>
    <t>SABAREE THANGAVEL | Deviation Below Glideslope (&lt;1000 ft)</t>
  </si>
  <si>
    <t>SABAREE THANGAVEL | Excessive Bank after Take-off (0-400 ft)</t>
  </si>
  <si>
    <t>SAHIL SHARMA | Approach Speed High (&lt;50 ft)</t>
  </si>
  <si>
    <t>SAHIL SHARMA | Approach Speed High (500-50 ft)</t>
  </si>
  <si>
    <t>SAHIL SHARMA | Deviation Below Glideslope (&lt;1000 ft)</t>
  </si>
  <si>
    <t>SAHIL SHARMA | Go around 1st</t>
  </si>
  <si>
    <t>SAHIL SHARMA | Go around 2nd</t>
  </si>
  <si>
    <t>SAHIL SHARMA | High Taxi Speed (Runway Backtrack)</t>
  </si>
  <si>
    <t>SAKSHI SAXENA | Long landing</t>
  </si>
  <si>
    <t>SAMEL MAKHIJA | Deviation Below Glideslope (&lt;1000 ft)</t>
  </si>
  <si>
    <t>SAMEL MAKHIJA | GPWS (GLIDESLOPE)</t>
  </si>
  <si>
    <t>SAMEL MAKHIJA | Late Thrust Reverser Deployment</t>
  </si>
  <si>
    <t>SAMSUNDAR ANUP BALLA | Go around</t>
  </si>
  <si>
    <t>SAMSUNDAR ANUP BALLA | High Rate of Descent (500-100 ft)</t>
  </si>
  <si>
    <t>SANCHIT NAGAR | Early Autopilot Engagement</t>
  </si>
  <si>
    <t>SANDEEP PHUTELA | Go around</t>
  </si>
  <si>
    <t>SANDEEP PHUTELA | Pitch Attitude High at Take-off</t>
  </si>
  <si>
    <t>SANJANA SANJAY AMRITE | Go around</t>
  </si>
  <si>
    <t>SANJANA SANJAY AMRITE | High Rate of Descent (500-100 ft)</t>
  </si>
  <si>
    <t>SANJANA SANJAY AMRITE | MMO Exceeded</t>
  </si>
  <si>
    <t>SANJIV MIDHA | High Rate of Descent (1000-500 ft)</t>
  </si>
  <si>
    <t>SANTOSH MAYUR RAYAN PALAKODETY | Deviation Below Glideslope (&lt;1000 ft)</t>
  </si>
  <si>
    <t>SANTOSH MAYUR RAYAN PALAKODETY | GPWS (GLIDESLOPE)</t>
  </si>
  <si>
    <t>SAURABH SHAHI | Deviation Below Glideslope (&lt;1000 ft)</t>
  </si>
  <si>
    <t>SAURABH SHAHI | Max Landing Weight</t>
  </si>
  <si>
    <t>SHABNAM GAFOOR KHAN SARGUROH | Approach Speed High (500- 50 ft)</t>
  </si>
  <si>
    <t>SHABNAM GAFOOR KHAN SARGUROH | Flap Placard Speed Exceeded</t>
  </si>
  <si>
    <t>SHABNAM GAFOOR KHAN SARGUROH | Go around</t>
  </si>
  <si>
    <t>SHIRIN ABDUL HAMEED PASHA | Go around</t>
  </si>
  <si>
    <t>SHIRIN ABDUL HAMEED PASHA | Pitch Rate High During Take-off (Average)</t>
  </si>
  <si>
    <t>SHIVOM SINGH | Go around</t>
  </si>
  <si>
    <t>Shraddha Sharma | High Vertical Acceleration (Landing)</t>
  </si>
  <si>
    <t>SHREENATH RAJU NAIR | Climb Out Speed Low (&lt;35 ft)</t>
  </si>
  <si>
    <t>SHREYASKUMAR ANILKUMAR CHAUDHARI | Approach Speed High (500-50 ft)</t>
  </si>
  <si>
    <t>SHREYASKUMAR ANILKUMAR CHAUDHARI | Pitch Rate High During Take-off (Average)</t>
  </si>
  <si>
    <t>SHRIKANT ANANT PATIL | Go around</t>
  </si>
  <si>
    <t>SIDDHARTHA MOHAN | Approach Speed High (500-50 ft)</t>
  </si>
  <si>
    <t>SIDDHARTHA MOHAN | Climb Out Speed Low (35 ft - 400 ft)</t>
  </si>
  <si>
    <t>SIDDHARTHA MOHAN | Low Rate of Descent (&lt;1000 ft)</t>
  </si>
  <si>
    <t>SUDHEER MAINGI | Approach Speed High (&lt;50 ft)</t>
  </si>
  <si>
    <t>SUKANTA SARKAR | GPWS (PULL UP)</t>
  </si>
  <si>
    <t>SUKANTA SARKAR | GPWS (TERRAIN)</t>
  </si>
  <si>
    <t xml:space="preserve">SUKIRAT SINGH | Go around 1st </t>
  </si>
  <si>
    <t xml:space="preserve">SUKIRAT SINGH | Go around 2nd </t>
  </si>
  <si>
    <t>SUKIRAT SINGH | Stick Shaker</t>
  </si>
  <si>
    <t>SUMIT GUPTA | Deviation Above Glideslope (&lt;1000 ft)</t>
  </si>
  <si>
    <t>SUMIT GUPTA | Go around</t>
  </si>
  <si>
    <t>SUNIL PREMCHAND NARWANI | High Rate of Descent (500-100 ft)</t>
  </si>
  <si>
    <t>SUPREET KAUR GILL | High Rate of Descent (500-100 ft)</t>
  </si>
  <si>
    <t>SUPREET KAUR GILL | Low Rate of Descent (&lt;1000 ft)</t>
  </si>
  <si>
    <t>SURABHI | Unstick Speed High</t>
  </si>
  <si>
    <t>UMANG BHATIA | Deviation Below Glideslope (&lt;1000 ft)</t>
  </si>
  <si>
    <t>UMANG BHATIA | Go around</t>
  </si>
  <si>
    <t>UMANG BHATIA | GPWS (GLIDESLOPE)</t>
  </si>
  <si>
    <t>UNNATI PRAMOD KAMLAKAR | Go around</t>
  </si>
  <si>
    <t>UNNATI PRAMOD KAMLAKAR | High Rate of Descent (500-100 ft)</t>
  </si>
  <si>
    <t>VAIBHAV SINGH | Go around</t>
  </si>
  <si>
    <t>VARUN CHOPRA | MAX EGT/ITT (Continuous) #2</t>
  </si>
  <si>
    <t>VIKRAM  SINGH | Go around</t>
  </si>
  <si>
    <t>VIKRAM  SINGH | High Rate of Descent (500-100 ft)</t>
  </si>
  <si>
    <t>VIKRAM  SINGH | Late Landing Flap</t>
  </si>
  <si>
    <t>VIKRAM  SINGH | Thrust Reverser Not Deployed</t>
  </si>
  <si>
    <t>VINAY FAUZDAR | Late Thrust Reverser Deployment</t>
  </si>
  <si>
    <t>VINAY FAUZDAR | MAX EGT/ITT (Continuous) #2</t>
  </si>
  <si>
    <t>VIRENDRA MALHOTRA | Long landing</t>
  </si>
  <si>
    <t>VISHAL CHHIKARA | Deviation Below Glideslope (&lt;1000 ft)</t>
  </si>
  <si>
    <t>VISHAL CHHIKARA | High Taxi Speed (Straight)</t>
  </si>
  <si>
    <t>YUNUSAHMED MUHAMMADFARUK KHARADI | Approach Speed High (500-50 ft)</t>
  </si>
  <si>
    <t>YUNUSAHMED MUHAMMADFARUK KHARADI | Flap 30 Speed Exceeded</t>
  </si>
  <si>
    <t>YUNUSAHMED MUHAMMADFARUK KHARADI | High Rate of Descent (500-100 ft)</t>
  </si>
  <si>
    <t>Airport + Exceedances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</si>
</sst>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1"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2"/>
      <color theme="1"/>
      <name val="Calibri"/>
      <family val="2"/>
      <scheme val="minor"/>
    </font>
    <font>
      <sz val="11"/>
      <color rgb="FF000000"/>
      <name val="Calibri"/>
      <family val="2"/>
      <scheme val="minor"/>
    </font>
    <font>
      <sz val="11"/>
      <color rgb="FF000000"/>
      <name val="Calibri"/>
      <family val="2"/>
    </font>
    <font>
      <sz val="11"/>
      <color rgb="FF222222"/>
      <name val="Calibri"/>
      <family val="2"/>
      <scheme val="minor"/>
    </font>
    <font>
      <sz val="11"/>
      <color theme="1"/>
      <name val="Calibri"/>
      <family val="2"/>
    </font>
    <font>
      <sz val="11"/>
      <color rgb="FF222222"/>
      <name val="Arial"/>
      <family val="2"/>
    </font>
    <font>
      <sz val="12"/>
      <color rgb="FF222222"/>
      <name val="Arial"/>
      <family val="2"/>
    </font>
    <font>
      <sz val="11"/>
      <color theme="5"/>
      <name val="Calibri"/>
      <family val="2"/>
      <scheme val="minor"/>
    </font>
    <font>
      <sz val="11"/>
      <color theme="5" tint="-0.249977111117893"/>
      <name val="Calibri"/>
      <family val="2"/>
      <scheme val="minor"/>
    </font>
    <font>
      <sz val="11"/>
      <color rgb="FF1F1F1F"/>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7">
    <xf numFmtId="0" fontId="0" fillId="0" borderId="0"/>
    <xf numFmtId="0" fontId="2" fillId="0" borderId="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5" applyNumberFormat="0" applyAlignment="0" applyProtection="0"/>
    <xf numFmtId="0" fontId="13" fillId="6" borderId="6" applyNumberFormat="0" applyAlignment="0" applyProtection="0"/>
    <xf numFmtId="0" fontId="14" fillId="6" borderId="5" applyNumberFormat="0" applyAlignment="0" applyProtection="0"/>
    <xf numFmtId="0" fontId="15" fillId="0" borderId="7" applyNumberFormat="0" applyFill="0" applyAlignment="0" applyProtection="0"/>
    <xf numFmtId="0" fontId="16" fillId="7" borderId="8" applyNumberFormat="0" applyAlignment="0" applyProtection="0"/>
    <xf numFmtId="0" fontId="17" fillId="0" borderId="0" applyNumberFormat="0" applyFill="0" applyBorder="0" applyAlignment="0" applyProtection="0"/>
    <xf numFmtId="0" fontId="4" fillId="8" borderId="9" applyNumberFormat="0" applyFont="0" applyAlignment="0" applyProtection="0"/>
    <xf numFmtId="0" fontId="18" fillId="0" borderId="0" applyNumberFormat="0" applyFill="0" applyBorder="0" applyAlignment="0" applyProtection="0"/>
    <xf numFmtId="0" fontId="1" fillId="0" borderId="10" applyNumberFormat="0" applyFill="0" applyAlignment="0" applyProtection="0"/>
    <xf numFmtId="0" fontId="1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20" fillId="0" borderId="0" applyNumberFormat="0" applyFill="0" applyBorder="0" applyAlignment="0" applyProtection="0"/>
  </cellStyleXfs>
  <cellXfs count="87">
    <xf numFmtId="0" fontId="0" fillId="0" borderId="0" xfId="0"/>
    <xf numFmtId="164" fontId="1" fillId="0" borderId="1" xfId="1" applyNumberFormat="1" applyFont="1" applyBorder="1" applyAlignment="1">
      <alignment horizontal="center" vertical="center"/>
    </xf>
    <xf numFmtId="0" fontId="1" fillId="0" borderId="1" xfId="1" applyFont="1" applyBorder="1" applyAlignment="1">
      <alignment horizontal="center" vertical="center"/>
    </xf>
    <xf numFmtId="164" fontId="1" fillId="0" borderId="12" xfId="1" applyNumberFormat="1"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164" fontId="1" fillId="0" borderId="11" xfId="1" applyNumberFormat="1" applyFont="1" applyBorder="1" applyAlignment="1">
      <alignment horizontal="center" vertical="center"/>
    </xf>
    <xf numFmtId="15" fontId="0" fillId="0" borderId="11" xfId="0" applyNumberFormat="1" applyBorder="1" applyAlignment="1">
      <alignment horizontal="center" vertical="center"/>
    </xf>
    <xf numFmtId="0" fontId="0" fillId="0" borderId="1" xfId="0" applyBorder="1" applyAlignment="1">
      <alignment horizontal="center" vertical="center"/>
    </xf>
    <xf numFmtId="164" fontId="0" fillId="0" borderId="11" xfId="0" applyNumberFormat="1" applyBorder="1" applyAlignment="1">
      <alignment horizontal="center" vertical="center"/>
    </xf>
    <xf numFmtId="0" fontId="0" fillId="35" borderId="1" xfId="0" applyFill="1" applyBorder="1" applyAlignment="1">
      <alignment horizontal="center" vertical="center"/>
    </xf>
    <xf numFmtId="164" fontId="0" fillId="35" borderId="1" xfId="0" applyNumberFormat="1" applyFill="1" applyBorder="1" applyAlignment="1">
      <alignment horizontal="center" vertical="center"/>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1" xfId="0" applyNumberFormat="1" applyBorder="1" applyAlignment="1">
      <alignment horizontal="center" vertical="center"/>
    </xf>
    <xf numFmtId="15" fontId="0" fillId="0" borderId="1" xfId="0" applyNumberFormat="1" applyBorder="1" applyAlignment="1">
      <alignment horizontal="center" vertical="center" wrapText="1"/>
    </xf>
    <xf numFmtId="0" fontId="22" fillId="0" borderId="1" xfId="0" applyFont="1" applyBorder="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1" fillId="0" borderId="1" xfId="1" applyFont="1" applyBorder="1" applyAlignment="1">
      <alignment horizontal="center" vertical="center" wrapText="1"/>
    </xf>
    <xf numFmtId="15" fontId="0" fillId="0" borderId="1" xfId="0" applyNumberForma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27" fillId="0" borderId="1" xfId="0" applyFont="1" applyBorder="1" applyAlignment="1">
      <alignment horizontal="center" vertical="center"/>
    </xf>
    <xf numFmtId="0" fontId="25" fillId="0" borderId="1" xfId="0" applyFont="1" applyBorder="1" applyAlignment="1">
      <alignment horizontal="center" vertical="center" wrapText="1"/>
    </xf>
    <xf numFmtId="15" fontId="23" fillId="0" borderId="1" xfId="0" applyNumberFormat="1" applyFont="1" applyBorder="1" applyAlignment="1">
      <alignment horizontal="center" vertical="center"/>
    </xf>
    <xf numFmtId="0" fontId="22" fillId="0" borderId="1" xfId="0" applyFont="1" applyBorder="1" applyAlignment="1">
      <alignment horizontal="center" vertical="center" wrapText="1"/>
    </xf>
    <xf numFmtId="0" fontId="26" fillId="0" borderId="1" xfId="0" applyFont="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22" fillId="0" borderId="0" xfId="0" applyFont="1" applyAlignment="1">
      <alignment horizontal="center" vertical="center"/>
    </xf>
    <xf numFmtId="0" fontId="21" fillId="0" borderId="1" xfId="0" applyFont="1" applyBorder="1" applyAlignment="1">
      <alignment horizontal="center" vertical="center" wrapText="1"/>
    </xf>
    <xf numFmtId="15" fontId="3" fillId="0" borderId="1" xfId="0" applyNumberFormat="1" applyFont="1" applyBorder="1" applyAlignment="1">
      <alignment horizontal="center" vertical="center"/>
    </xf>
    <xf numFmtId="0" fontId="23" fillId="0" borderId="1" xfId="0" applyFont="1" applyBorder="1" applyAlignment="1">
      <alignment horizontal="center" vertical="center"/>
    </xf>
    <xf numFmtId="20" fontId="0" fillId="0" borderId="1" xfId="0" applyNumberFormat="1" applyBorder="1" applyAlignment="1">
      <alignment horizontal="center" vertical="center"/>
    </xf>
    <xf numFmtId="0" fontId="0" fillId="33" borderId="1" xfId="0" applyFill="1" applyBorder="1" applyAlignment="1">
      <alignment horizontal="center" vertical="center"/>
    </xf>
    <xf numFmtId="15" fontId="23" fillId="0" borderId="1" xfId="0" applyNumberFormat="1"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17"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0" fillId="34" borderId="1" xfId="0" applyFill="1" applyBorder="1" applyAlignment="1">
      <alignment horizontal="center" vertical="center" wrapText="1"/>
    </xf>
    <xf numFmtId="164" fontId="21" fillId="0" borderId="1" xfId="0" applyNumberFormat="1" applyFont="1" applyBorder="1" applyAlignment="1">
      <alignment horizontal="center" vertical="center"/>
    </xf>
    <xf numFmtId="0" fontId="21" fillId="0" borderId="1" xfId="0" applyFont="1" applyBorder="1" applyAlignment="1">
      <alignment horizontal="center" vertical="center"/>
    </xf>
    <xf numFmtId="15" fontId="21" fillId="0" borderId="1" xfId="0" applyNumberFormat="1" applyFont="1" applyBorder="1" applyAlignment="1">
      <alignment horizontal="center" vertical="center"/>
    </xf>
    <xf numFmtId="15" fontId="3" fillId="35" borderId="1" xfId="0" applyNumberFormat="1" applyFont="1" applyFill="1" applyBorder="1" applyAlignment="1">
      <alignment horizontal="center" vertical="center"/>
    </xf>
    <xf numFmtId="164" fontId="21" fillId="0" borderId="1" xfId="0" applyNumberFormat="1" applyFont="1" applyBorder="1" applyAlignment="1">
      <alignment horizontal="center" vertical="center" wrapText="1"/>
    </xf>
    <xf numFmtId="0" fontId="0" fillId="0" borderId="1" xfId="0" applyBorder="1" applyAlignment="1">
      <alignment vertical="top" wrapText="1"/>
    </xf>
    <xf numFmtId="0" fontId="28" fillId="0" borderId="1" xfId="0" applyFont="1" applyBorder="1" applyAlignment="1">
      <alignment horizontal="center" vertical="center"/>
    </xf>
    <xf numFmtId="164" fontId="28" fillId="0" borderId="1" xfId="0" applyNumberFormat="1" applyFont="1" applyBorder="1" applyAlignment="1">
      <alignment horizontal="center" vertical="center"/>
    </xf>
    <xf numFmtId="0" fontId="28" fillId="0" borderId="12" xfId="0" applyFont="1" applyBorder="1" applyAlignment="1">
      <alignment horizontal="center" vertical="center"/>
    </xf>
    <xf numFmtId="15" fontId="28" fillId="0" borderId="1" xfId="0" applyNumberFormat="1" applyFont="1" applyBorder="1" applyAlignment="1">
      <alignment horizontal="center" vertical="center"/>
    </xf>
    <xf numFmtId="0" fontId="28" fillId="0" borderId="1" xfId="0" applyFont="1" applyBorder="1" applyAlignment="1">
      <alignment horizontal="center" vertical="center" wrapText="1"/>
    </xf>
    <xf numFmtId="0" fontId="0" fillId="0" borderId="1" xfId="0" applyBorder="1" applyAlignment="1">
      <alignment horizontal="left" vertical="center" wrapText="1"/>
    </xf>
    <xf numFmtId="0" fontId="29" fillId="0" borderId="1" xfId="0" applyFont="1" applyBorder="1" applyAlignment="1">
      <alignment horizontal="center" vertical="center"/>
    </xf>
    <xf numFmtId="164" fontId="29" fillId="0" borderId="1" xfId="0" applyNumberFormat="1" applyFont="1" applyBorder="1" applyAlignment="1">
      <alignment horizontal="center" vertical="center"/>
    </xf>
    <xf numFmtId="0" fontId="29" fillId="0" borderId="1" xfId="0" applyFont="1" applyBorder="1" applyAlignment="1">
      <alignment horizontal="center" vertical="center" wrapText="1"/>
    </xf>
    <xf numFmtId="0" fontId="1" fillId="0" borderId="1" xfId="0" applyFont="1" applyBorder="1" applyAlignment="1">
      <alignment horizontal="center" vertical="center" wrapText="1"/>
    </xf>
    <xf numFmtId="0" fontId="30" fillId="0" borderId="1" xfId="0" applyFont="1" applyBorder="1" applyAlignment="1">
      <alignment horizontal="center" vertical="center"/>
    </xf>
    <xf numFmtId="0" fontId="0" fillId="34" borderId="1" xfId="0" applyFill="1" applyBorder="1" applyAlignment="1">
      <alignment horizontal="center" vertical="center"/>
    </xf>
    <xf numFmtId="164" fontId="0" fillId="34" borderId="1" xfId="0" applyNumberFormat="1" applyFill="1" applyBorder="1" applyAlignment="1">
      <alignment horizontal="center" vertical="center"/>
    </xf>
    <xf numFmtId="0" fontId="3" fillId="34" borderId="1" xfId="0" applyFont="1" applyFill="1" applyBorder="1" applyAlignment="1">
      <alignment horizontal="center" vertical="center"/>
    </xf>
    <xf numFmtId="15" fontId="0" fillId="34" borderId="1" xfId="0" applyNumberFormat="1" applyFill="1" applyBorder="1" applyAlignment="1">
      <alignment horizontal="center" vertical="center"/>
    </xf>
    <xf numFmtId="164" fontId="17" fillId="0" borderId="1" xfId="0" applyNumberFormat="1" applyFont="1" applyBorder="1" applyAlignment="1">
      <alignment horizontal="center" vertical="center"/>
    </xf>
    <xf numFmtId="0" fontId="17" fillId="0" borderId="1" xfId="0" applyFont="1" applyBorder="1" applyAlignment="1">
      <alignment horizontal="center" vertical="center" wrapText="1"/>
    </xf>
    <xf numFmtId="15" fontId="17" fillId="0" borderId="1" xfId="0" applyNumberFormat="1" applyFont="1" applyBorder="1" applyAlignment="1">
      <alignment horizontal="center" vertical="center"/>
    </xf>
    <xf numFmtId="164" fontId="0" fillId="33" borderId="1" xfId="0" applyNumberFormat="1" applyFill="1" applyBorder="1" applyAlignment="1">
      <alignment horizontal="center" vertical="center"/>
    </xf>
    <xf numFmtId="0" fontId="0" fillId="0" borderId="0" xfId="0" applyAlignment="1">
      <alignment horizontal="left"/>
    </xf>
    <xf numFmtId="0" fontId="0" fillId="0" borderId="0" xfId="0" pivotButton="1"/>
    <xf numFmtId="0" fontId="0" fillId="0" borderId="15" xfId="0" applyBorder="1" applyAlignment="1">
      <alignment horizontal="center" vertical="center"/>
    </xf>
    <xf numFmtId="0" fontId="16" fillId="34" borderId="1" xfId="1" applyFont="1" applyFill="1" applyBorder="1" applyAlignment="1">
      <alignment horizontal="center"/>
    </xf>
    <xf numFmtId="0" fontId="19" fillId="34" borderId="1" xfId="1" applyFont="1" applyFill="1" applyBorder="1" applyAlignment="1">
      <alignment horizontal="center"/>
    </xf>
    <xf numFmtId="0" fontId="19" fillId="34" borderId="1" xfId="1" applyFont="1" applyFill="1" applyBorder="1" applyAlignment="1">
      <alignment horizontal="center" vertical="center"/>
    </xf>
    <xf numFmtId="0" fontId="0" fillId="36" borderId="0" xfId="0" applyFill="1"/>
    <xf numFmtId="0" fontId="3" fillId="0" borderId="0" xfId="0" applyFont="1" applyAlignment="1">
      <alignment horizontal="center" vertical="center" wrapText="1"/>
    </xf>
    <xf numFmtId="0" fontId="22" fillId="0" borderId="0" xfId="0" applyFont="1" applyAlignment="1">
      <alignment horizontal="center" vertical="center" wrapText="1"/>
    </xf>
    <xf numFmtId="0" fontId="0" fillId="34" borderId="0" xfId="0" applyFill="1" applyAlignment="1">
      <alignment horizontal="center" vertical="center" wrapText="1"/>
    </xf>
    <xf numFmtId="0" fontId="25" fillId="0" borderId="0" xfId="0" applyFont="1" applyAlignment="1">
      <alignment horizontal="center" vertical="center" wrapText="1"/>
    </xf>
    <xf numFmtId="0" fontId="23" fillId="0" borderId="0" xfId="0" applyFont="1" applyAlignment="1">
      <alignment horizontal="center" vertical="center" wrapText="1"/>
    </xf>
    <xf numFmtId="0" fontId="0" fillId="0" borderId="15" xfId="0" applyBorder="1" applyAlignment="1">
      <alignment horizontal="center" vertical="center" wrapText="1"/>
    </xf>
    <xf numFmtId="0" fontId="1" fillId="0" borderId="1" xfId="0" applyFont="1" applyBorder="1"/>
    <xf numFmtId="0" fontId="0" fillId="0" borderId="0" xfId="0" applyAlignment="1">
      <alignment horizontal="left" indent="1"/>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1" xr:uid="{00000000-0005-0000-0000-000025000000}"/>
    <cellStyle name="Note" xfId="16" builtinId="10" customBuiltin="1"/>
    <cellStyle name="Output" xfId="11" builtinId="21" customBuiltin="1"/>
    <cellStyle name="Title" xfId="2" builtinId="15" customBuiltin="1"/>
    <cellStyle name="Title 2" xfId="43" xr:uid="{00000000-0005-0000-0000-000029000000}"/>
    <cellStyle name="Title 3" xfId="45" xr:uid="{00000000-0005-0000-0000-00002A000000}"/>
    <cellStyle name="Title 4" xfId="44" xr:uid="{00000000-0005-0000-0000-00002B000000}"/>
    <cellStyle name="Title 5" xfId="46" xr:uid="{00000000-0005-0000-0000-00002C000000}"/>
    <cellStyle name="Total" xfId="18" builtinId="25" customBuiltin="1"/>
    <cellStyle name="Warning Text" xfId="15" builtinId="11" customBuiltin="1"/>
  </cellStyles>
  <dxfs count="1109">
    <dxf>
      <font>
        <color rgb="FFFF0000"/>
      </font>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ill>
        <patternFill>
          <bgColor rgb="FF00B0F0"/>
        </patternFill>
      </fill>
    </dxf>
    <dxf>
      <fill>
        <patternFill>
          <bgColor rgb="FFFFFF0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ill>
        <patternFill>
          <bgColor rgb="FFFFFF00"/>
        </patternFill>
      </fill>
    </dxf>
    <dxf>
      <font>
        <color rgb="FFFF0000"/>
      </font>
    </dxf>
    <dxf>
      <fill>
        <patternFill>
          <bgColor rgb="FF00B0F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00B0F0"/>
        </patternFill>
      </fill>
    </dxf>
    <dxf>
      <font>
        <color rgb="FFFF0000"/>
      </font>
    </dxf>
    <dxf>
      <fill>
        <patternFill>
          <bgColor rgb="FF92D050"/>
        </patternFill>
      </fill>
    </dxf>
    <dxf>
      <fill>
        <patternFill>
          <bgColor rgb="FFFFFF00"/>
        </patternFill>
      </fill>
    </dxf>
    <dxf>
      <font>
        <color rgb="FFFF0000"/>
      </font>
    </dxf>
    <dxf>
      <fill>
        <patternFill>
          <bgColor rgb="FF92D050"/>
        </patternFill>
      </fill>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00B0F0"/>
        </patternFill>
      </fill>
    </dxf>
    <dxf>
      <font>
        <color rgb="FFFF0000"/>
      </font>
    </dxf>
    <dxf>
      <fill>
        <patternFill>
          <bgColor rgb="FFFFFF00"/>
        </patternFill>
      </fill>
    </dxf>
    <dxf>
      <fill>
        <patternFill>
          <bgColor rgb="FF92D050"/>
        </patternFill>
      </fill>
    </dxf>
    <dxf>
      <font>
        <color rgb="FFFF0000"/>
      </font>
    </dxf>
    <dxf>
      <fill>
        <patternFill>
          <bgColor rgb="FF00B0F0"/>
        </patternFill>
      </fill>
    </dxf>
    <dxf>
      <font>
        <color rgb="FFFF0000"/>
      </font>
    </dxf>
    <dxf>
      <fill>
        <patternFill>
          <bgColor rgb="FF92D050"/>
        </patternFill>
      </fill>
    </dxf>
    <dxf>
      <fill>
        <patternFill>
          <bgColor rgb="FFFFFF00"/>
        </patternFill>
      </fill>
    </dxf>
    <dxf>
      <fill>
        <patternFill>
          <bgColor rgb="FFFFFF00"/>
        </patternFill>
      </fill>
    </dxf>
    <dxf>
      <font>
        <color rgb="FFFF0000"/>
      </font>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ont>
        <color rgb="FFFF0000"/>
      </font>
    </dxf>
    <dxf>
      <font>
        <color rgb="FFFF0000"/>
      </font>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ont>
        <color rgb="FFFF0000"/>
      </font>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ill>
        <patternFill>
          <bgColor rgb="FF00B0F0"/>
        </patternFill>
      </fill>
    </dxf>
    <dxf>
      <font>
        <color rgb="FFFF0000"/>
      </font>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FFFF00"/>
        </patternFill>
      </fill>
    </dxf>
    <dxf>
      <fill>
        <patternFill>
          <bgColor rgb="FF00B0F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00B0F0"/>
        </patternFill>
      </fill>
    </dxf>
    <dxf>
      <font>
        <color rgb="FFFF0000"/>
      </font>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ont>
        <color rgb="FFFF0000"/>
      </font>
    </dxf>
    <dxf>
      <fill>
        <patternFill>
          <bgColor rgb="FFFFFF00"/>
        </patternFill>
      </fill>
    </dxf>
    <dxf>
      <fill>
        <patternFill>
          <bgColor rgb="FF00B0F0"/>
        </patternFill>
      </fill>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FFFF00"/>
        </patternFill>
      </fill>
    </dxf>
    <dxf>
      <fill>
        <patternFill>
          <bgColor rgb="FF92D050"/>
        </patternFill>
      </fill>
    </dxf>
    <dxf>
      <fill>
        <patternFill>
          <bgColor rgb="FF00B0F0"/>
        </patternFill>
      </fill>
    </dxf>
    <dxf>
      <font>
        <color rgb="FFFF0000"/>
      </font>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00B0F0"/>
        </patternFill>
      </fill>
    </dxf>
    <dxf>
      <font>
        <color theme="1"/>
      </font>
    </dxf>
    <dxf>
      <font>
        <color rgb="FFFF0000"/>
      </font>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ont>
        <color theme="1"/>
      </font>
    </dxf>
    <dxf>
      <font>
        <color theme="1"/>
      </font>
    </dxf>
    <dxf>
      <fill>
        <patternFill>
          <bgColor rgb="FF92D050"/>
        </patternFill>
      </fill>
    </dxf>
    <dxf>
      <fill>
        <patternFill>
          <bgColor rgb="FF00B0F0"/>
        </patternFill>
      </fill>
    </dxf>
    <dxf>
      <fill>
        <patternFill>
          <bgColor rgb="FFFFFF00"/>
        </patternFill>
      </fill>
    </dxf>
    <dxf>
      <font>
        <color theme="1"/>
      </font>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92D050"/>
        </patternFill>
      </fill>
    </dxf>
    <dxf>
      <fill>
        <patternFill>
          <bgColor rgb="FFFFFF00"/>
        </patternFill>
      </fill>
    </dxf>
    <dxf>
      <font>
        <color rgb="FFFF0000"/>
      </font>
    </dxf>
    <dxf>
      <font>
        <color rgb="FFFF0000"/>
      </font>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FFFF00"/>
        </patternFill>
      </fill>
    </dxf>
    <dxf>
      <fill>
        <patternFill>
          <bgColor rgb="FF00B0F0"/>
        </patternFill>
      </fill>
    </dxf>
    <dxf>
      <font>
        <color rgb="FFFF0000"/>
      </font>
    </dxf>
    <dxf>
      <fill>
        <patternFill>
          <bgColor rgb="FF92D05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FFFF00"/>
        </patternFill>
      </fill>
    </dxf>
    <dxf>
      <font>
        <color rgb="FFFF0000"/>
      </font>
    </dxf>
    <dxf>
      <fill>
        <patternFill>
          <bgColor rgb="FF92D050"/>
        </patternFill>
      </fill>
    </dxf>
    <dxf>
      <fill>
        <patternFill>
          <bgColor rgb="FF00B0F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92D050"/>
        </patternFill>
      </fill>
    </dxf>
    <dxf>
      <fill>
        <patternFill>
          <bgColor rgb="FF00B0F0"/>
        </patternFill>
      </fill>
    </dxf>
    <dxf>
      <fill>
        <patternFill>
          <bgColor rgb="FFFFFF00"/>
        </patternFill>
      </fill>
    </dxf>
    <dxf>
      <fill>
        <patternFill>
          <bgColor rgb="FFFFFF00"/>
        </patternFill>
      </fill>
    </dxf>
    <dxf>
      <fill>
        <patternFill>
          <bgColor rgb="FF00B0F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ill>
        <patternFill>
          <bgColor rgb="FF00B0F0"/>
        </patternFill>
      </fill>
    </dxf>
    <dxf>
      <fill>
        <patternFill>
          <bgColor rgb="FFFFFF0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rgb="FF00B0F0"/>
        </patternFill>
      </fill>
    </dxf>
    <dxf>
      <font>
        <color rgb="FFFF0000"/>
      </font>
    </dxf>
    <dxf>
      <fill>
        <patternFill>
          <bgColor rgb="FFFFFF00"/>
        </patternFill>
      </fill>
    </dxf>
    <dxf>
      <font>
        <color rgb="FFFF0000"/>
      </font>
    </dxf>
    <dxf>
      <fill>
        <patternFill>
          <bgColor rgb="FF92D050"/>
        </patternFill>
      </fill>
    </dxf>
    <dxf>
      <fill>
        <patternFill>
          <bgColor rgb="FF00B0F0"/>
        </patternFill>
      </fill>
    </dxf>
    <dxf>
      <font>
        <color rgb="FFFF0000"/>
      </font>
    </dxf>
    <dxf>
      <fill>
        <patternFill>
          <bgColor rgb="FF92D050"/>
        </patternFill>
      </fill>
    </dxf>
    <dxf>
      <fill>
        <patternFill>
          <bgColor rgb="FF00B0F0"/>
        </patternFill>
      </fill>
    </dxf>
    <dxf>
      <fill>
        <patternFill>
          <bgColor rgb="FFFFFF0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00B0F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92D050"/>
        </patternFill>
      </fill>
    </dxf>
    <dxf>
      <font>
        <color rgb="FFFF0000"/>
      </font>
    </dxf>
    <dxf>
      <fill>
        <patternFill>
          <bgColor rgb="FFFFFF00"/>
        </patternFill>
      </fill>
    </dxf>
    <dxf>
      <font>
        <color rgb="FFFF0000"/>
      </font>
    </dxf>
    <dxf>
      <font>
        <color rgb="FFFF0000"/>
      </font>
    </dxf>
    <dxf>
      <fill>
        <patternFill>
          <bgColor rgb="FFFFFF00"/>
        </patternFill>
      </fill>
    </dxf>
    <dxf>
      <fill>
        <patternFill>
          <bgColor rgb="FF00B0F0"/>
        </patternFill>
      </fill>
    </dxf>
    <dxf>
      <fill>
        <patternFill>
          <bgColor rgb="FF92D05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00B0F0"/>
        </patternFill>
      </fill>
    </dxf>
    <dxf>
      <font>
        <color rgb="FFFF0000"/>
      </font>
    </dxf>
    <dxf>
      <fill>
        <patternFill>
          <bgColor rgb="FF92D050"/>
        </patternFill>
      </fill>
    </dxf>
    <dxf>
      <fill>
        <patternFill>
          <bgColor rgb="FFFFFF00"/>
        </patternFill>
      </fill>
    </dxf>
    <dxf>
      <fill>
        <patternFill>
          <bgColor rgb="FFFFFF00"/>
        </patternFill>
      </fill>
    </dxf>
    <dxf>
      <font>
        <color rgb="FFFF0000"/>
      </font>
    </dxf>
    <dxf>
      <fill>
        <patternFill>
          <bgColor rgb="FF92D050"/>
        </patternFill>
      </fill>
    </dxf>
    <dxf>
      <fill>
        <patternFill>
          <bgColor rgb="FF00B0F0"/>
        </patternFill>
      </fill>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00B0F0"/>
        </patternFill>
      </fill>
    </dxf>
    <dxf>
      <fill>
        <patternFill>
          <bgColor rgb="FFFFFF0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00B0F0"/>
        </patternFill>
      </fill>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ont>
        <color rgb="FFFF0000"/>
      </font>
    </dxf>
    <dxf>
      <font>
        <color rgb="FFFF0000"/>
      </font>
    </dxf>
    <dxf>
      <fill>
        <patternFill>
          <bgColor rgb="FF00B0F0"/>
        </patternFill>
      </fill>
    </dxf>
    <dxf>
      <fill>
        <patternFill>
          <bgColor rgb="FF92D050"/>
        </patternFill>
      </fill>
    </dxf>
    <dxf>
      <fill>
        <patternFill>
          <bgColor rgb="FFFFFF0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ont>
        <color rgb="FFFF0000"/>
      </font>
    </dxf>
    <dxf>
      <font>
        <color rgb="FFFF0000"/>
      </font>
    </dxf>
    <dxf>
      <fill>
        <patternFill>
          <bgColor rgb="FF00B0F0"/>
        </patternFill>
      </fill>
    </dxf>
    <dxf>
      <fill>
        <patternFill>
          <bgColor rgb="FF92D050"/>
        </patternFill>
      </fill>
    </dxf>
    <dxf>
      <font>
        <color rgb="FFFF0000"/>
      </font>
    </dxf>
    <dxf>
      <fill>
        <patternFill>
          <bgColor rgb="FFFFFF00"/>
        </patternFill>
      </fill>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ont>
        <color rgb="FFFF0000"/>
      </font>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ont>
        <color rgb="FFFF0000"/>
      </font>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00B0F0"/>
        </patternFill>
      </fill>
    </dxf>
    <dxf>
      <fill>
        <patternFill>
          <bgColor rgb="FFFFFF00"/>
        </patternFill>
      </fill>
    </dxf>
    <dxf>
      <font>
        <color rgb="FFFF0000"/>
      </font>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ont>
        <color rgb="FFFF0000"/>
      </font>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ont>
        <color rgb="FFFF0000"/>
      </font>
    </dxf>
    <dxf>
      <font>
        <color rgb="FFFF0000"/>
      </font>
    </dxf>
    <dxf>
      <fill>
        <patternFill>
          <bgColor rgb="FF92D050"/>
        </patternFill>
      </fill>
    </dxf>
    <dxf>
      <fill>
        <patternFill>
          <bgColor rgb="FF00B0F0"/>
        </patternFill>
      </fill>
    </dxf>
    <dxf>
      <fill>
        <patternFill>
          <bgColor rgb="FFFFFF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92D050"/>
        </patternFill>
      </fill>
    </dxf>
    <dxf>
      <font>
        <color rgb="FFFF0000"/>
      </font>
    </dxf>
    <dxf>
      <fill>
        <patternFill>
          <bgColor rgb="FF00B0F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00B0F0"/>
        </patternFill>
      </fill>
    </dxf>
    <dxf>
      <font>
        <color rgb="FFFF0000"/>
      </font>
    </dxf>
    <dxf>
      <fill>
        <patternFill>
          <bgColor rgb="FFFFFF0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00B0F0"/>
        </patternFill>
      </fill>
    </dxf>
    <dxf>
      <font>
        <color rgb="FFFF0000"/>
      </font>
    </dxf>
    <dxf>
      <fill>
        <patternFill>
          <bgColor rgb="FFFFFF00"/>
        </patternFill>
      </fill>
    </dxf>
    <dxf>
      <fill>
        <patternFill>
          <bgColor rgb="FF92D050"/>
        </patternFill>
      </fill>
    </dxf>
    <dxf>
      <fill>
        <patternFill>
          <bgColor rgb="FF00B0F0"/>
        </patternFill>
      </fill>
    </dxf>
    <dxf>
      <fill>
        <patternFill>
          <bgColor rgb="FF00B0F0"/>
        </patternFill>
      </fill>
    </dxf>
    <dxf>
      <fill>
        <patternFill>
          <bgColor rgb="FFFFFF00"/>
        </patternFill>
      </fill>
    </dxf>
    <dxf>
      <fill>
        <patternFill>
          <bgColor rgb="FF92D05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92D050"/>
        </patternFill>
      </fill>
    </dxf>
    <dxf>
      <fill>
        <patternFill>
          <bgColor rgb="FFFFFF00"/>
        </patternFill>
      </fill>
    </dxf>
    <dxf>
      <font>
        <color rgb="FFFF0000"/>
      </font>
    </dxf>
    <dxf>
      <fill>
        <patternFill>
          <bgColor rgb="FF92D050"/>
        </patternFill>
      </fill>
    </dxf>
    <dxf>
      <fill>
        <patternFill>
          <bgColor rgb="FFFFFF0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FFFF00"/>
        </patternFill>
      </fill>
    </dxf>
    <dxf>
      <fill>
        <patternFill>
          <bgColor rgb="FF00B0F0"/>
        </patternFill>
      </fill>
    </dxf>
    <dxf>
      <font>
        <color rgb="FFFF0000"/>
      </font>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ill>
        <patternFill>
          <bgColor rgb="FFFFFF00"/>
        </patternFill>
      </fill>
    </dxf>
    <dxf>
      <fill>
        <patternFill>
          <bgColor rgb="FF92D050"/>
        </patternFill>
      </fill>
    </dxf>
    <dxf>
      <font>
        <color rgb="FFFF0000"/>
      </font>
    </dxf>
    <dxf>
      <fill>
        <patternFill>
          <bgColor rgb="FF00B0F0"/>
        </patternFill>
      </fill>
    </dxf>
    <dxf>
      <fill>
        <patternFill>
          <bgColor rgb="FF00B0F0"/>
        </patternFill>
      </fill>
    </dxf>
    <dxf>
      <fill>
        <patternFill>
          <bgColor rgb="FFFFFF0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92D050"/>
        </patternFill>
      </fill>
    </dxf>
    <dxf>
      <font>
        <color rgb="FFFF0000"/>
      </font>
    </dxf>
    <dxf>
      <fill>
        <patternFill>
          <bgColor rgb="FF00B0F0"/>
        </patternFill>
      </fill>
    </dxf>
    <dxf>
      <fill>
        <patternFill>
          <bgColor rgb="FFFFFF00"/>
        </patternFill>
      </fill>
    </dxf>
    <dxf>
      <fill>
        <patternFill>
          <bgColor rgb="FF92D050"/>
        </patternFill>
      </fill>
    </dxf>
    <dxf>
      <font>
        <color rgb="FFFF0000"/>
      </font>
    </dxf>
    <dxf>
      <font>
        <color rgb="FFFF0000"/>
      </font>
    </dxf>
    <dxf>
      <font>
        <color rgb="FFFF0000"/>
      </font>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92D050"/>
        </patternFill>
      </fill>
    </dxf>
    <dxf>
      <fill>
        <patternFill>
          <bgColor rgb="FFFFFF00"/>
        </patternFill>
      </fill>
    </dxf>
    <dxf>
      <fill>
        <patternFill>
          <bgColor rgb="FF00B0F0"/>
        </patternFill>
      </fill>
    </dxf>
    <dxf>
      <font>
        <color rgb="FFFF0000"/>
      </font>
    </dxf>
    <dxf>
      <font>
        <color rgb="FFFF0000"/>
      </font>
    </dxf>
    <dxf>
      <font>
        <color rgb="FFFF0000"/>
      </font>
    </dxf>
    <dxf>
      <fill>
        <patternFill>
          <bgColor rgb="FFFFFF00"/>
        </patternFill>
      </fill>
    </dxf>
    <dxf>
      <fill>
        <patternFill>
          <bgColor rgb="FF92D050"/>
        </patternFill>
      </fill>
    </dxf>
    <dxf>
      <fill>
        <patternFill>
          <bgColor rgb="FF00B0F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ill>
        <patternFill>
          <bgColor rgb="FF00B0F0"/>
        </patternFill>
      </fill>
    </dxf>
    <dxf>
      <fill>
        <patternFill>
          <bgColor rgb="FFFFFF00"/>
        </patternFill>
      </fill>
    </dxf>
    <dxf>
      <font>
        <color rgb="FFFF0000"/>
      </font>
    </dxf>
    <dxf>
      <fill>
        <patternFill>
          <bgColor rgb="FF92D050"/>
        </patternFill>
      </fill>
    </dxf>
    <dxf>
      <font>
        <color rgb="FFFF0000"/>
      </font>
    </dxf>
    <dxf>
      <fill>
        <patternFill>
          <bgColor rgb="FFFFFF00"/>
        </patternFill>
      </fill>
    </dxf>
    <dxf>
      <font>
        <color rgb="FFFF0000"/>
      </font>
    </dxf>
    <dxf>
      <fill>
        <patternFill>
          <bgColor rgb="FF00B0F0"/>
        </patternFill>
      </fill>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ill>
        <patternFill>
          <bgColor rgb="FFFFFF00"/>
        </patternFill>
      </fill>
    </dxf>
    <dxf>
      <fill>
        <patternFill>
          <bgColor rgb="FF92D050"/>
        </patternFill>
      </fill>
    </dxf>
    <dxf>
      <font>
        <color rgb="FFFF0000"/>
      </font>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ont>
        <color rgb="FFFF0000"/>
      </font>
    </dxf>
    <dxf>
      <fill>
        <patternFill>
          <bgColor rgb="FF92D050"/>
        </patternFill>
      </fill>
    </dxf>
    <dxf>
      <fill>
        <patternFill>
          <bgColor rgb="FF00B0F0"/>
        </patternFill>
      </fill>
    </dxf>
    <dxf>
      <fill>
        <patternFill>
          <bgColor rgb="FFFFFF00"/>
        </patternFill>
      </fill>
    </dxf>
    <dxf>
      <fill>
        <patternFill>
          <bgColor rgb="FFFFFF00"/>
        </patternFill>
      </fill>
    </dxf>
    <dxf>
      <fill>
        <patternFill>
          <bgColor rgb="FF92D050"/>
        </patternFill>
      </fill>
    </dxf>
    <dxf>
      <fill>
        <patternFill>
          <bgColor rgb="FF00B0F0"/>
        </patternFill>
      </fill>
    </dxf>
    <dxf>
      <font>
        <color rgb="FFFF0000"/>
      </font>
    </dxf>
    <dxf>
      <fill>
        <patternFill>
          <bgColor rgb="FFFFFF00"/>
        </patternFill>
      </fill>
    </dxf>
    <dxf>
      <fill>
        <patternFill>
          <bgColor rgb="FF92D050"/>
        </patternFill>
      </fill>
    </dxf>
    <dxf>
      <font>
        <color rgb="FFFF0000"/>
      </font>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ont>
        <color theme="1"/>
      </font>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00B0F0"/>
        </patternFill>
      </fill>
    </dxf>
    <dxf>
      <font>
        <color theme="1"/>
      </font>
    </dxf>
    <dxf>
      <font>
        <color theme="1"/>
      </font>
    </dxf>
    <dxf>
      <font>
        <color theme="1"/>
      </font>
    </dxf>
    <dxf>
      <font>
        <color theme="1"/>
      </font>
    </dxf>
    <dxf>
      <font>
        <color rgb="FFFF0000"/>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rgb="FFFF0000"/>
      </font>
    </dxf>
    <dxf>
      <fill>
        <patternFill>
          <bgColor rgb="FF92D050"/>
        </patternFill>
      </fill>
    </dxf>
    <dxf>
      <fill>
        <patternFill>
          <bgColor rgb="FFFFFF00"/>
        </patternFill>
      </fill>
    </dxf>
    <dxf>
      <fill>
        <patternFill>
          <bgColor rgb="FF00B0F0"/>
        </patternFill>
      </fill>
    </dxf>
    <dxf>
      <fill>
        <patternFill>
          <bgColor rgb="FF00B0F0"/>
        </patternFill>
      </fill>
    </dxf>
    <dxf>
      <fill>
        <patternFill>
          <bgColor rgb="FF92D050"/>
        </patternFill>
      </fill>
    </dxf>
    <dxf>
      <fill>
        <patternFill>
          <bgColor rgb="FFFFFF00"/>
        </patternFill>
      </fill>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ill>
        <patternFill>
          <bgColor rgb="FF92D05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ill>
        <patternFill>
          <bgColor rgb="FF00B0F0"/>
        </patternFill>
      </fill>
    </dxf>
    <dxf>
      <fill>
        <patternFill>
          <bgColor rgb="FF92D050"/>
        </patternFill>
      </fill>
    </dxf>
    <dxf>
      <fill>
        <patternFill>
          <bgColor rgb="FFFFFF00"/>
        </patternFill>
      </fill>
    </dxf>
    <dxf>
      <font>
        <color rgb="FFFF0000"/>
      </font>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00B0F0"/>
        </patternFill>
      </fill>
    </dxf>
    <dxf>
      <font>
        <color rgb="FFFF0000"/>
      </font>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ont>
        <color rgb="FFFF0000"/>
      </font>
    </dxf>
    <dxf>
      <fill>
        <patternFill>
          <bgColor rgb="FF92D050"/>
        </patternFill>
      </fill>
    </dxf>
    <dxf>
      <fill>
        <patternFill>
          <bgColor rgb="FF00B0F0"/>
        </patternFill>
      </fill>
    </dxf>
    <dxf>
      <fill>
        <patternFill>
          <bgColor rgb="FF00B0F0"/>
        </patternFill>
      </fill>
    </dxf>
    <dxf>
      <fill>
        <patternFill>
          <bgColor rgb="FF92D050"/>
        </patternFill>
      </fill>
    </dxf>
    <dxf>
      <font>
        <color rgb="FFFF0000"/>
      </font>
    </dxf>
    <dxf>
      <fill>
        <patternFill>
          <bgColor rgb="FFFFFF00"/>
        </patternFill>
      </fill>
    </dxf>
    <dxf>
      <font>
        <color theme="1"/>
      </font>
    </dxf>
    <dxf>
      <font>
        <color theme="1"/>
      </font>
    </dxf>
    <dxf>
      <font>
        <color rgb="FFFF0000"/>
      </font>
    </dxf>
    <dxf>
      <font>
        <color theme="1"/>
      </font>
    </dxf>
    <dxf>
      <fill>
        <patternFill>
          <bgColor rgb="FF92D050"/>
        </patternFill>
      </fill>
    </dxf>
    <dxf>
      <fill>
        <patternFill>
          <bgColor rgb="FFFFFF00"/>
        </patternFill>
      </fill>
    </dxf>
    <dxf>
      <fill>
        <patternFill>
          <bgColor rgb="FF00B0F0"/>
        </patternFill>
      </fill>
    </dxf>
    <dxf>
      <font>
        <color theme="1"/>
      </font>
    </dxf>
    <dxf>
      <fill>
        <patternFill>
          <bgColor rgb="FF00B0F0"/>
        </patternFill>
      </fill>
    </dxf>
    <dxf>
      <fill>
        <patternFill>
          <bgColor rgb="FFFFFF00"/>
        </patternFill>
      </fill>
    </dxf>
    <dxf>
      <fill>
        <patternFill>
          <bgColor rgb="FF92D050"/>
        </patternFill>
      </fill>
    </dxf>
    <dxf>
      <font>
        <color rgb="FFFF0000"/>
      </font>
    </dxf>
    <dxf>
      <font>
        <color theme="1"/>
      </font>
    </dxf>
    <dxf>
      <font>
        <color rgb="FFFF0000"/>
      </font>
    </dxf>
    <dxf>
      <font>
        <color theme="1"/>
      </font>
    </dxf>
    <dxf>
      <font>
        <color theme="1"/>
      </font>
    </dxf>
    <dxf>
      <font>
        <color rgb="FFFF0000"/>
      </font>
    </dxf>
    <dxf>
      <font>
        <color theme="1"/>
      </font>
    </dxf>
    <dxf>
      <font>
        <color theme="1"/>
      </font>
    </dxf>
    <dxf>
      <font>
        <color rgb="FFFF0000"/>
      </font>
    </dxf>
    <dxf>
      <fill>
        <patternFill>
          <bgColor rgb="FF92D050"/>
        </patternFill>
      </fill>
    </dxf>
    <dxf>
      <fill>
        <patternFill>
          <bgColor rgb="FF00B0F0"/>
        </patternFill>
      </fill>
    </dxf>
    <dxf>
      <fill>
        <patternFill>
          <bgColor rgb="FFFFFF00"/>
        </patternFill>
      </fill>
    </dxf>
    <dxf>
      <font>
        <color theme="1"/>
      </font>
    </dxf>
    <dxf>
      <fill>
        <patternFill>
          <bgColor rgb="FF00B0F0"/>
        </patternFill>
      </fill>
    </dxf>
    <dxf>
      <fill>
        <patternFill>
          <bgColor rgb="FFFFFF00"/>
        </patternFill>
      </fill>
    </dxf>
    <dxf>
      <fill>
        <patternFill>
          <bgColor rgb="FF92D050"/>
        </patternFill>
      </fill>
    </dxf>
    <dxf>
      <font>
        <color theme="1"/>
      </font>
    </dxf>
    <dxf>
      <font>
        <color theme="1"/>
      </font>
    </dxf>
    <dxf>
      <font>
        <color theme="1"/>
      </font>
    </dxf>
    <dxf>
      <font>
        <color theme="1"/>
      </font>
    </dxf>
    <dxf>
      <font>
        <color theme="1"/>
      </font>
    </dxf>
    <dxf>
      <font>
        <color theme="1"/>
      </font>
    </dxf>
    <dxf>
      <font>
        <color rgb="FFFF0000"/>
      </font>
    </dxf>
    <dxf>
      <font>
        <color theme="1"/>
      </font>
    </dxf>
    <dxf>
      <font>
        <color theme="1"/>
      </font>
    </dxf>
    <dxf>
      <font>
        <color theme="1"/>
      </font>
    </dxf>
    <dxf>
      <font>
        <color theme="1"/>
      </font>
    </dxf>
    <dxf>
      <font>
        <color theme="1"/>
      </font>
    </dxf>
    <dxf>
      <font>
        <color theme="1"/>
      </font>
    </dxf>
    <dxf>
      <font>
        <color theme="1"/>
      </font>
    </dxf>
    <dxf>
      <font>
        <color theme="1"/>
      </font>
    </dxf>
    <dxf>
      <fill>
        <patternFill>
          <bgColor rgb="FFFFFF00"/>
        </patternFill>
      </fill>
    </dxf>
    <dxf>
      <fill>
        <patternFill>
          <bgColor rgb="FF92D050"/>
        </patternFill>
      </fill>
    </dxf>
    <dxf>
      <fill>
        <patternFill>
          <bgColor rgb="FF00B0F0"/>
        </patternFill>
      </fill>
    </dxf>
    <dxf>
      <font>
        <color theme="1"/>
      </font>
    </dxf>
    <dxf>
      <fill>
        <patternFill>
          <bgColor rgb="FF92D050"/>
        </patternFill>
      </fill>
    </dxf>
    <dxf>
      <fill>
        <patternFill>
          <bgColor rgb="FF00B0F0"/>
        </patternFill>
      </fill>
    </dxf>
    <dxf>
      <fill>
        <patternFill>
          <bgColor rgb="FFFFFF00"/>
        </patternFill>
      </fill>
    </dxf>
    <dxf>
      <font>
        <color theme="1"/>
      </font>
    </dxf>
    <dxf>
      <font>
        <color theme="1"/>
      </font>
    </dxf>
    <dxf>
      <font>
        <color rgb="FFFF0000"/>
      </font>
    </dxf>
    <dxf>
      <fill>
        <patternFill>
          <bgColor rgb="FF00B0F0"/>
        </patternFill>
      </fill>
    </dxf>
    <dxf>
      <fill>
        <patternFill>
          <bgColor rgb="FFFFFF00"/>
        </patternFill>
      </fill>
    </dxf>
    <dxf>
      <fill>
        <patternFill>
          <bgColor rgb="FF92D050"/>
        </patternFill>
      </fill>
    </dxf>
    <dxf>
      <font>
        <color theme="1"/>
      </font>
    </dxf>
    <dxf>
      <fill>
        <patternFill>
          <bgColor rgb="FF00B0F0"/>
        </patternFill>
      </fill>
    </dxf>
    <dxf>
      <fill>
        <patternFill>
          <bgColor rgb="FFFFFF00"/>
        </patternFill>
      </fill>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ont>
        <color rgb="FFFF0000"/>
      </font>
    </dxf>
    <dxf>
      <font>
        <color theme="1"/>
      </font>
    </dxf>
    <dxf>
      <font>
        <color theme="1"/>
      </font>
    </dxf>
    <dxf>
      <font>
        <color theme="1"/>
      </font>
    </dxf>
    <dxf>
      <font>
        <color theme="1"/>
      </font>
    </dxf>
    <dxf>
      <font>
        <color theme="1"/>
      </font>
    </dxf>
    <dxf>
      <font>
        <color theme="1"/>
      </font>
    </dxf>
    <dxf>
      <fill>
        <patternFill>
          <bgColor rgb="FF92D050"/>
        </patternFill>
      </fill>
    </dxf>
    <dxf>
      <font>
        <color rgb="FFFF0000"/>
      </font>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ont>
        <color rgb="FFFF0000"/>
      </font>
    </dxf>
    <dxf>
      <fill>
        <patternFill>
          <bgColor rgb="FF92D050"/>
        </patternFill>
      </fill>
    </dxf>
    <dxf>
      <fill>
        <patternFill>
          <bgColor rgb="FFFFFF00"/>
        </patternFill>
      </fill>
    </dxf>
    <dxf>
      <fill>
        <patternFill>
          <bgColor rgb="FF00B0F0"/>
        </patternFill>
      </fill>
    </dxf>
    <dxf>
      <fill>
        <patternFill>
          <bgColor rgb="FF92D050"/>
        </patternFill>
      </fill>
    </dxf>
    <dxf>
      <font>
        <color rgb="FFFF0000"/>
      </font>
    </dxf>
    <dxf>
      <fill>
        <patternFill>
          <bgColor rgb="FFFFFF00"/>
        </patternFill>
      </fill>
    </dxf>
    <dxf>
      <fill>
        <patternFill>
          <bgColor rgb="FF00B0F0"/>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2025.xlsx]Sheet7!PivotTable3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Exceedances</a:t>
            </a:r>
            <a:r>
              <a:rPr lang="en-US" baseline="0"/>
              <a:t> By Airport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Approach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Sheet7!$B$5:$B$6</c:f>
              <c:numCache>
                <c:formatCode>General</c:formatCode>
                <c:ptCount val="1"/>
                <c:pt idx="0">
                  <c:v>7</c:v>
                </c:pt>
              </c:numCache>
            </c:numRef>
          </c:val>
          <c:extLst>
            <c:ext xmlns:c16="http://schemas.microsoft.com/office/drawing/2014/chart" uri="{C3380CC4-5D6E-409C-BE32-E72D297353CC}">
              <c16:uniqueId val="{00000000-7F52-B04E-B8A7-ABF60BDFCD58}"/>
            </c:ext>
          </c:extLst>
        </c:ser>
        <c:ser>
          <c:idx val="1"/>
          <c:order val="1"/>
          <c:tx>
            <c:strRef>
              <c:f>Sheet7!$C$3:$C$4</c:f>
              <c:strCache>
                <c:ptCount val="1"/>
                <c:pt idx="0">
                  <c:v>Climb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Sheet7!$C$5:$C$6</c:f>
              <c:numCache>
                <c:formatCode>General</c:formatCode>
                <c:ptCount val="1"/>
                <c:pt idx="0">
                  <c:v>3</c:v>
                </c:pt>
              </c:numCache>
            </c:numRef>
          </c:val>
          <c:extLst>
            <c:ext xmlns:c16="http://schemas.microsoft.com/office/drawing/2014/chart" uri="{C3380CC4-5D6E-409C-BE32-E72D297353CC}">
              <c16:uniqueId val="{00000001-7F52-B04E-B8A7-ABF60BDFCD58}"/>
            </c:ext>
          </c:extLst>
        </c:ser>
        <c:ser>
          <c:idx val="2"/>
          <c:order val="2"/>
          <c:tx>
            <c:strRef>
              <c:f>Sheet7!$D$3:$D$4</c:f>
              <c:strCache>
                <c:ptCount val="1"/>
                <c:pt idx="0">
                  <c:v>Taxi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Sheet7!$D$5:$D$6</c:f>
              <c:numCache>
                <c:formatCode>General</c:formatCode>
                <c:ptCount val="1"/>
                <c:pt idx="0">
                  <c:v>1</c:v>
                </c:pt>
              </c:numCache>
            </c:numRef>
          </c:val>
          <c:extLst>
            <c:ext xmlns:c16="http://schemas.microsoft.com/office/drawing/2014/chart" uri="{C3380CC4-5D6E-409C-BE32-E72D297353CC}">
              <c16:uniqueId val="{00000002-7F52-B04E-B8A7-ABF60BDFCD58}"/>
            </c:ext>
          </c:extLst>
        </c:ser>
        <c:dLbls>
          <c:showLegendKey val="0"/>
          <c:showVal val="1"/>
          <c:showCatName val="0"/>
          <c:showSerName val="0"/>
          <c:showPercent val="0"/>
          <c:showBubbleSize val="0"/>
        </c:dLbls>
        <c:gapWidth val="100"/>
        <c:overlap val="-24"/>
        <c:axId val="1184351359"/>
        <c:axId val="533902256"/>
      </c:barChart>
      <c:catAx>
        <c:axId val="118435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3902256"/>
        <c:crosses val="autoZero"/>
        <c:auto val="1"/>
        <c:lblAlgn val="ctr"/>
        <c:lblOffset val="100"/>
        <c:noMultiLvlLbl val="0"/>
      </c:catAx>
      <c:valAx>
        <c:axId val="533902256"/>
        <c:scaling>
          <c:orientation val="minMax"/>
        </c:scaling>
        <c:delete val="1"/>
        <c:axPos val="l"/>
        <c:numFmt formatCode="General" sourceLinked="1"/>
        <c:majorTickMark val="none"/>
        <c:minorTickMark val="none"/>
        <c:tickLblPos val="nextTo"/>
        <c:crossAx val="1184351359"/>
        <c:crosses val="autoZero"/>
        <c:crossBetween val="between"/>
      </c:valAx>
      <c:spPr>
        <a:noFill/>
        <a:ln w="25400">
          <a:noFill/>
        </a:ln>
        <a:effectLst/>
      </c:spPr>
    </c:plotArea>
    <c:legend>
      <c:legendPos val="t"/>
      <c:layout>
        <c:manualLayout>
          <c:xMode val="edge"/>
          <c:yMode val="edge"/>
          <c:x val="0.40716632344033921"/>
          <c:y val="8.411693057247259E-2"/>
          <c:w val="0.20412889158086012"/>
          <c:h val="4.29357323026460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2025.xlsx]Sheet7!PivotTable3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Exceedances</a:t>
            </a:r>
            <a:r>
              <a:rPr lang="en-US" baseline="0"/>
              <a:t> By Phase on Airport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Approach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Sheet7!$B$5:$B$6</c:f>
              <c:numCache>
                <c:formatCode>General</c:formatCode>
                <c:ptCount val="1"/>
                <c:pt idx="0">
                  <c:v>7</c:v>
                </c:pt>
              </c:numCache>
            </c:numRef>
          </c:val>
          <c:extLst>
            <c:ext xmlns:c16="http://schemas.microsoft.com/office/drawing/2014/chart" uri="{C3380CC4-5D6E-409C-BE32-E72D297353CC}">
              <c16:uniqueId val="{00000000-A0E3-174C-8AE3-AEE83B6D84B3}"/>
            </c:ext>
          </c:extLst>
        </c:ser>
        <c:ser>
          <c:idx val="1"/>
          <c:order val="1"/>
          <c:tx>
            <c:strRef>
              <c:f>Sheet7!$C$3:$C$4</c:f>
              <c:strCache>
                <c:ptCount val="1"/>
                <c:pt idx="0">
                  <c:v>Climb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Sheet7!$C$5:$C$6</c:f>
              <c:numCache>
                <c:formatCode>General</c:formatCode>
                <c:ptCount val="1"/>
                <c:pt idx="0">
                  <c:v>3</c:v>
                </c:pt>
              </c:numCache>
            </c:numRef>
          </c:val>
          <c:extLst>
            <c:ext xmlns:c16="http://schemas.microsoft.com/office/drawing/2014/chart" uri="{C3380CC4-5D6E-409C-BE32-E72D297353CC}">
              <c16:uniqueId val="{00000001-A0E3-174C-8AE3-AEE83B6D84B3}"/>
            </c:ext>
          </c:extLst>
        </c:ser>
        <c:ser>
          <c:idx val="2"/>
          <c:order val="2"/>
          <c:tx>
            <c:strRef>
              <c:f>Sheet7!$D$3:$D$4</c:f>
              <c:strCache>
                <c:ptCount val="1"/>
                <c:pt idx="0">
                  <c:v>Taxi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Sheet7!$A$5:$A$6</c:f>
              <c:strCache>
                <c:ptCount val="1"/>
                <c:pt idx="0">
                  <c:v>AMD</c:v>
                </c:pt>
              </c:strCache>
            </c:strRef>
          </c:cat>
          <c:val>
            <c:numRef>
              <c:f>Sheet7!$D$5:$D$6</c:f>
              <c:numCache>
                <c:formatCode>General</c:formatCode>
                <c:ptCount val="1"/>
                <c:pt idx="0">
                  <c:v>1</c:v>
                </c:pt>
              </c:numCache>
            </c:numRef>
          </c:val>
          <c:extLst>
            <c:ext xmlns:c16="http://schemas.microsoft.com/office/drawing/2014/chart" uri="{C3380CC4-5D6E-409C-BE32-E72D297353CC}">
              <c16:uniqueId val="{00000002-A0E3-174C-8AE3-AEE83B6D84B3}"/>
            </c:ext>
          </c:extLst>
        </c:ser>
        <c:dLbls>
          <c:showLegendKey val="0"/>
          <c:showVal val="1"/>
          <c:showCatName val="0"/>
          <c:showSerName val="0"/>
          <c:showPercent val="0"/>
          <c:showBubbleSize val="0"/>
        </c:dLbls>
        <c:gapWidth val="100"/>
        <c:overlap val="-24"/>
        <c:axId val="1184351359"/>
        <c:axId val="533902256"/>
      </c:barChart>
      <c:catAx>
        <c:axId val="11843513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3902256"/>
        <c:crosses val="autoZero"/>
        <c:auto val="1"/>
        <c:lblAlgn val="ctr"/>
        <c:lblOffset val="100"/>
        <c:noMultiLvlLbl val="0"/>
      </c:catAx>
      <c:valAx>
        <c:axId val="533902256"/>
        <c:scaling>
          <c:orientation val="minMax"/>
        </c:scaling>
        <c:delete val="1"/>
        <c:axPos val="l"/>
        <c:numFmt formatCode="General" sourceLinked="1"/>
        <c:majorTickMark val="none"/>
        <c:minorTickMark val="none"/>
        <c:tickLblPos val="nextTo"/>
        <c:crossAx val="1184351359"/>
        <c:crosses val="autoZero"/>
        <c:crossBetween val="between"/>
      </c:valAx>
      <c:spPr>
        <a:noFill/>
        <a:ln w="25400">
          <a:noFill/>
        </a:ln>
        <a:effectLst/>
      </c:spPr>
    </c:plotArea>
    <c:legend>
      <c:legendPos val="t"/>
      <c:layout>
        <c:manualLayout>
          <c:xMode val="edge"/>
          <c:yMode val="edge"/>
          <c:x val="0.40716632344033921"/>
          <c:y val="8.411693057247259E-2"/>
          <c:w val="0.20412889158086012"/>
          <c:h val="4.293573230264609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2025.xlsx]Sheet9!PivotTable4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7 Exceedances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6670822397200355E-2"/>
          <c:y val="7.9120370370370396E-2"/>
          <c:w val="0.52197222222222217"/>
          <c:h val="0.86995370370370373"/>
        </c:manualLayout>
      </c:layout>
      <c:pieChart>
        <c:varyColors val="1"/>
        <c:ser>
          <c:idx val="0"/>
          <c:order val="0"/>
          <c:tx>
            <c:strRef>
              <c:f>Sheet9!$B$3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59-ED46-B9D8-2DC3CB8765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59-ED46-B9D8-2DC3CB8765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59-ED46-B9D8-2DC3CB8765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59-ED46-B9D8-2DC3CB8765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B59-ED46-B9D8-2DC3CB8765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B59-ED46-B9D8-2DC3CB87657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B59-ED46-B9D8-2DC3CB8765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Sheet9!$A$4:$A$11</c:f>
              <c:strCache>
                <c:ptCount val="7"/>
                <c:pt idx="0">
                  <c:v>Go around</c:v>
                </c:pt>
                <c:pt idx="1">
                  <c:v>Deviation Below Glideslope (&lt;1000 ft)</c:v>
                </c:pt>
                <c:pt idx="2">
                  <c:v>High Rate of Descent (500-100 ft)</c:v>
                </c:pt>
                <c:pt idx="3">
                  <c:v>Approach Speed High (500-50 ft)</c:v>
                </c:pt>
                <c:pt idx="4">
                  <c:v>Low Rate of Descent (&lt;1000 ft)</c:v>
                </c:pt>
                <c:pt idx="5">
                  <c:v>GPWS (GLIDESLOPE)</c:v>
                </c:pt>
                <c:pt idx="6">
                  <c:v>MAX EGT/ITT (Continuous) #2</c:v>
                </c:pt>
              </c:strCache>
            </c:strRef>
          </c:cat>
          <c:val>
            <c:numRef>
              <c:f>Sheet9!$B$4:$B$11</c:f>
              <c:numCache>
                <c:formatCode>General</c:formatCode>
                <c:ptCount val="7"/>
                <c:pt idx="0">
                  <c:v>34</c:v>
                </c:pt>
                <c:pt idx="1">
                  <c:v>20</c:v>
                </c:pt>
                <c:pt idx="2">
                  <c:v>16</c:v>
                </c:pt>
                <c:pt idx="3">
                  <c:v>9</c:v>
                </c:pt>
                <c:pt idx="4">
                  <c:v>9</c:v>
                </c:pt>
                <c:pt idx="5">
                  <c:v>9</c:v>
                </c:pt>
                <c:pt idx="6">
                  <c:v>8</c:v>
                </c:pt>
              </c:numCache>
            </c:numRef>
          </c:val>
          <c:extLst>
            <c:ext xmlns:c16="http://schemas.microsoft.com/office/drawing/2014/chart" uri="{C3380CC4-5D6E-409C-BE32-E72D297353CC}">
              <c16:uniqueId val="{0000000E-AB59-ED46-B9D8-2DC3CB87657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2025.xlsx]Sheet10!PivotTable5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Approach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Sheet10!$B$5:$B$6</c:f>
              <c:numCache>
                <c:formatCode>General</c:formatCode>
                <c:ptCount val="1"/>
                <c:pt idx="0">
                  <c:v>78</c:v>
                </c:pt>
              </c:numCache>
            </c:numRef>
          </c:val>
          <c:extLst>
            <c:ext xmlns:c16="http://schemas.microsoft.com/office/drawing/2014/chart" uri="{C3380CC4-5D6E-409C-BE32-E72D297353CC}">
              <c16:uniqueId val="{00000000-8859-4F4E-B6F6-C442DFFA7AA7}"/>
            </c:ext>
          </c:extLst>
        </c:ser>
        <c:ser>
          <c:idx val="1"/>
          <c:order val="1"/>
          <c:tx>
            <c:strRef>
              <c:f>Sheet10!$C$3:$C$4</c:f>
              <c:strCache>
                <c:ptCount val="1"/>
                <c:pt idx="0">
                  <c:v>Climb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Sheet10!$C$5:$C$6</c:f>
              <c:numCache>
                <c:formatCode>General</c:formatCode>
                <c:ptCount val="1"/>
                <c:pt idx="0">
                  <c:v>11</c:v>
                </c:pt>
              </c:numCache>
            </c:numRef>
          </c:val>
          <c:extLst>
            <c:ext xmlns:c16="http://schemas.microsoft.com/office/drawing/2014/chart" uri="{C3380CC4-5D6E-409C-BE32-E72D297353CC}">
              <c16:uniqueId val="{00000001-8859-4F4E-B6F6-C442DFFA7AA7}"/>
            </c:ext>
          </c:extLst>
        </c:ser>
        <c:ser>
          <c:idx val="2"/>
          <c:order val="2"/>
          <c:tx>
            <c:strRef>
              <c:f>Sheet10!$D$3:$D$4</c:f>
              <c:strCache>
                <c:ptCount val="1"/>
                <c:pt idx="0">
                  <c:v>Taxi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Sheet10!$D$5:$D$6</c:f>
              <c:numCache>
                <c:formatCode>General</c:formatCode>
                <c:ptCount val="1"/>
                <c:pt idx="0">
                  <c:v>4</c:v>
                </c:pt>
              </c:numCache>
            </c:numRef>
          </c:val>
          <c:extLst>
            <c:ext xmlns:c16="http://schemas.microsoft.com/office/drawing/2014/chart" uri="{C3380CC4-5D6E-409C-BE32-E72D297353CC}">
              <c16:uniqueId val="{00000002-8859-4F4E-B6F6-C442DFFA7AA7}"/>
            </c:ext>
          </c:extLst>
        </c:ser>
        <c:dLbls>
          <c:dLblPos val="outEnd"/>
          <c:showLegendKey val="0"/>
          <c:showVal val="1"/>
          <c:showCatName val="0"/>
          <c:showSerName val="0"/>
          <c:showPercent val="0"/>
          <c:showBubbleSize val="0"/>
        </c:dLbls>
        <c:gapWidth val="100"/>
        <c:overlap val="-24"/>
        <c:axId val="1117229151"/>
        <c:axId val="1117348351"/>
      </c:barChart>
      <c:catAx>
        <c:axId val="1117229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348351"/>
        <c:crosses val="autoZero"/>
        <c:auto val="1"/>
        <c:lblAlgn val="ctr"/>
        <c:lblOffset val="100"/>
        <c:noMultiLvlLbl val="0"/>
      </c:catAx>
      <c:valAx>
        <c:axId val="1117348351"/>
        <c:scaling>
          <c:orientation val="minMax"/>
        </c:scaling>
        <c:delete val="1"/>
        <c:axPos val="l"/>
        <c:numFmt formatCode="General" sourceLinked="1"/>
        <c:majorTickMark val="none"/>
        <c:minorTickMark val="none"/>
        <c:tickLblPos val="nextTo"/>
        <c:crossAx val="111722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2025.xlsx]Sheet9!PivotTable4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7 Exceedances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6670822397200355E-2"/>
          <c:y val="7.9120370370370396E-2"/>
          <c:w val="0.52197222222222217"/>
          <c:h val="0.86995370370370373"/>
        </c:manualLayout>
      </c:layout>
      <c:pieChart>
        <c:varyColors val="1"/>
        <c:ser>
          <c:idx val="0"/>
          <c:order val="0"/>
          <c:tx>
            <c:strRef>
              <c:f>Sheet9!$B$3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1E-B04F-BFC7-6E114F52FF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1E-B04F-BFC7-6E114F52FF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41E-B04F-BFC7-6E114F52FF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41E-B04F-BFC7-6E114F52FF5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41E-B04F-BFC7-6E114F52FF5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41E-B04F-BFC7-6E114F52FF5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41E-B04F-BFC7-6E114F52FF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Sheet9!$A$4:$A$11</c:f>
              <c:strCache>
                <c:ptCount val="7"/>
                <c:pt idx="0">
                  <c:v>Go around</c:v>
                </c:pt>
                <c:pt idx="1">
                  <c:v>Deviation Below Glideslope (&lt;1000 ft)</c:v>
                </c:pt>
                <c:pt idx="2">
                  <c:v>High Rate of Descent (500-100 ft)</c:v>
                </c:pt>
                <c:pt idx="3">
                  <c:v>Approach Speed High (500-50 ft)</c:v>
                </c:pt>
                <c:pt idx="4">
                  <c:v>Low Rate of Descent (&lt;1000 ft)</c:v>
                </c:pt>
                <c:pt idx="5">
                  <c:v>GPWS (GLIDESLOPE)</c:v>
                </c:pt>
                <c:pt idx="6">
                  <c:v>MAX EGT/ITT (Continuous) #2</c:v>
                </c:pt>
              </c:strCache>
            </c:strRef>
          </c:cat>
          <c:val>
            <c:numRef>
              <c:f>Sheet9!$B$4:$B$11</c:f>
              <c:numCache>
                <c:formatCode>General</c:formatCode>
                <c:ptCount val="7"/>
                <c:pt idx="0">
                  <c:v>34</c:v>
                </c:pt>
                <c:pt idx="1">
                  <c:v>20</c:v>
                </c:pt>
                <c:pt idx="2">
                  <c:v>16</c:v>
                </c:pt>
                <c:pt idx="3">
                  <c:v>9</c:v>
                </c:pt>
                <c:pt idx="4">
                  <c:v>9</c:v>
                </c:pt>
                <c:pt idx="5">
                  <c:v>9</c:v>
                </c:pt>
                <c:pt idx="6">
                  <c:v>8</c:v>
                </c:pt>
              </c:numCache>
            </c:numRef>
          </c:val>
          <c:extLst>
            <c:ext xmlns:c16="http://schemas.microsoft.com/office/drawing/2014/chart" uri="{C3380CC4-5D6E-409C-BE32-E72D297353CC}">
              <c16:uniqueId val="{00000000-F766-D844-BD63-DA483488EDF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[Boeing Exceedances 2025.xlsx]Sheet10!PivotTable5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Quarterly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Sheet10!$B$3:$B$4</c:f>
              <c:strCache>
                <c:ptCount val="1"/>
                <c:pt idx="0">
                  <c:v>Approach</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Sheet10!$B$5:$B$6</c:f>
              <c:numCache>
                <c:formatCode>General</c:formatCode>
                <c:ptCount val="1"/>
                <c:pt idx="0">
                  <c:v>78</c:v>
                </c:pt>
              </c:numCache>
            </c:numRef>
          </c:val>
          <c:extLst>
            <c:ext xmlns:c16="http://schemas.microsoft.com/office/drawing/2014/chart" uri="{C3380CC4-5D6E-409C-BE32-E72D297353CC}">
              <c16:uniqueId val="{00000000-6ECB-F746-8402-509FAA95EE0D}"/>
            </c:ext>
          </c:extLst>
        </c:ser>
        <c:ser>
          <c:idx val="1"/>
          <c:order val="1"/>
          <c:tx>
            <c:strRef>
              <c:f>Sheet10!$C$3:$C$4</c:f>
              <c:strCache>
                <c:ptCount val="1"/>
                <c:pt idx="0">
                  <c:v>Climb</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Sheet10!$C$5:$C$6</c:f>
              <c:numCache>
                <c:formatCode>General</c:formatCode>
                <c:ptCount val="1"/>
                <c:pt idx="0">
                  <c:v>11</c:v>
                </c:pt>
              </c:numCache>
            </c:numRef>
          </c:val>
          <c:extLst>
            <c:ext xmlns:c16="http://schemas.microsoft.com/office/drawing/2014/chart" uri="{C3380CC4-5D6E-409C-BE32-E72D297353CC}">
              <c16:uniqueId val="{00000001-6ECB-F746-8402-509FAA95EE0D}"/>
            </c:ext>
          </c:extLst>
        </c:ser>
        <c:ser>
          <c:idx val="2"/>
          <c:order val="2"/>
          <c:tx>
            <c:strRef>
              <c:f>Sheet10!$D$3:$D$4</c:f>
              <c:strCache>
                <c:ptCount val="1"/>
                <c:pt idx="0">
                  <c:v>Taxi</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Sheet10!$A$5:$A$6</c:f>
              <c:strCache>
                <c:ptCount val="1"/>
                <c:pt idx="0">
                  <c:v>Quarter2</c:v>
                </c:pt>
              </c:strCache>
            </c:strRef>
          </c:cat>
          <c:val>
            <c:numRef>
              <c:f>Sheet10!$D$5:$D$6</c:f>
              <c:numCache>
                <c:formatCode>General</c:formatCode>
                <c:ptCount val="1"/>
                <c:pt idx="0">
                  <c:v>4</c:v>
                </c:pt>
              </c:numCache>
            </c:numRef>
          </c:val>
          <c:extLst>
            <c:ext xmlns:c16="http://schemas.microsoft.com/office/drawing/2014/chart" uri="{C3380CC4-5D6E-409C-BE32-E72D297353CC}">
              <c16:uniqueId val="{00000002-6ECB-F746-8402-509FAA95EE0D}"/>
            </c:ext>
          </c:extLst>
        </c:ser>
        <c:dLbls>
          <c:dLblPos val="outEnd"/>
          <c:showLegendKey val="0"/>
          <c:showVal val="1"/>
          <c:showCatName val="0"/>
          <c:showSerName val="0"/>
          <c:showPercent val="0"/>
          <c:showBubbleSize val="0"/>
        </c:dLbls>
        <c:gapWidth val="100"/>
        <c:overlap val="-24"/>
        <c:axId val="1117229151"/>
        <c:axId val="1117348351"/>
      </c:barChart>
      <c:catAx>
        <c:axId val="11172291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7348351"/>
        <c:crosses val="autoZero"/>
        <c:auto val="1"/>
        <c:lblAlgn val="ctr"/>
        <c:lblOffset val="100"/>
        <c:noMultiLvlLbl val="0"/>
      </c:catAx>
      <c:valAx>
        <c:axId val="1117348351"/>
        <c:scaling>
          <c:orientation val="minMax"/>
        </c:scaling>
        <c:delete val="1"/>
        <c:axPos val="l"/>
        <c:numFmt formatCode="General" sourceLinked="1"/>
        <c:majorTickMark val="none"/>
        <c:minorTickMark val="none"/>
        <c:tickLblPos val="nextTo"/>
        <c:crossAx val="111722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139700</xdr:colOff>
      <xdr:row>2</xdr:row>
      <xdr:rowOff>76200</xdr:rowOff>
    </xdr:from>
    <xdr:to>
      <xdr:col>15</xdr:col>
      <xdr:colOff>139700</xdr:colOff>
      <xdr:row>29</xdr:row>
      <xdr:rowOff>146050</xdr:rowOff>
    </xdr:to>
    <xdr:graphicFrame macro="">
      <xdr:nvGraphicFramePr>
        <xdr:cNvPr id="6" name="Chart 5">
          <a:extLst>
            <a:ext uri="{FF2B5EF4-FFF2-40B4-BE49-F238E27FC236}">
              <a16:creationId xmlns:a16="http://schemas.microsoft.com/office/drawing/2014/main" id="{C5BB2014-348C-6E6D-E4B2-3A51F295F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647700</xdr:colOff>
      <xdr:row>16</xdr:row>
      <xdr:rowOff>63500</xdr:rowOff>
    </xdr:from>
    <xdr:to>
      <xdr:col>10</xdr:col>
      <xdr:colOff>0</xdr:colOff>
      <xdr:row>29</xdr:row>
      <xdr:rowOff>15869</xdr:rowOff>
    </xdr:to>
    <mc:AlternateContent xmlns:mc="http://schemas.openxmlformats.org/markup-compatibility/2006" xmlns:a14="http://schemas.microsoft.com/office/drawing/2010/main">
      <mc:Choice Requires="a14">
        <xdr:graphicFrame macro="">
          <xdr:nvGraphicFramePr>
            <xdr:cNvPr id="7" name="Place of Exceedance">
              <a:extLst>
                <a:ext uri="{FF2B5EF4-FFF2-40B4-BE49-F238E27FC236}">
                  <a16:creationId xmlns:a16="http://schemas.microsoft.com/office/drawing/2014/main" id="{7FEAD22C-9016-9602-04ED-BA5A0537AD72}"/>
                </a:ext>
              </a:extLst>
            </xdr:cNvPr>
            <xdr:cNvGraphicFramePr/>
          </xdr:nvGraphicFramePr>
          <xdr:xfrm>
            <a:off x="0" y="0"/>
            <a:ext cx="0" cy="0"/>
          </xdr:xfrm>
          <a:graphic>
            <a:graphicData uri="http://schemas.microsoft.com/office/drawing/2010/slicer">
              <sle:slicer xmlns:sle="http://schemas.microsoft.com/office/drawing/2010/slicer" name="Place of Exceedance"/>
            </a:graphicData>
          </a:graphic>
        </xdr:graphicFrame>
      </mc:Choice>
      <mc:Fallback xmlns="">
        <xdr:sp macro="" textlink="">
          <xdr:nvSpPr>
            <xdr:cNvPr id="0" name=""/>
            <xdr:cNvSpPr>
              <a:spLocks noTextEdit="1"/>
            </xdr:cNvSpPr>
          </xdr:nvSpPr>
          <xdr:spPr>
            <a:xfrm>
              <a:off x="6311900" y="3111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177800</xdr:colOff>
      <xdr:row>27</xdr:row>
      <xdr:rowOff>50800</xdr:rowOff>
    </xdr:to>
    <mc:AlternateContent xmlns:mc="http://schemas.openxmlformats.org/markup-compatibility/2006" xmlns:a14="http://schemas.microsoft.com/office/drawing/2010/main">
      <mc:Choice Requires="a14">
        <xdr:graphicFrame macro="">
          <xdr:nvGraphicFramePr>
            <xdr:cNvPr id="2" name="Place of Exceedance 1">
              <a:extLst>
                <a:ext uri="{FF2B5EF4-FFF2-40B4-BE49-F238E27FC236}">
                  <a16:creationId xmlns:a16="http://schemas.microsoft.com/office/drawing/2014/main" id="{059B4FF9-A9D8-4D4B-95E5-2408555EA1DF}"/>
                </a:ext>
              </a:extLst>
            </xdr:cNvPr>
            <xdr:cNvGraphicFramePr/>
          </xdr:nvGraphicFramePr>
          <xdr:xfrm>
            <a:off x="0" y="0"/>
            <a:ext cx="0" cy="0"/>
          </xdr:xfrm>
          <a:graphic>
            <a:graphicData uri="http://schemas.microsoft.com/office/drawing/2010/slicer">
              <sle:slicer xmlns:sle="http://schemas.microsoft.com/office/drawing/2010/slicer" name="Place of Exceedance 1"/>
            </a:graphicData>
          </a:graphic>
        </xdr:graphicFrame>
      </mc:Choice>
      <mc:Fallback xmlns="">
        <xdr:sp macro="" textlink="">
          <xdr:nvSpPr>
            <xdr:cNvPr id="0" name=""/>
            <xdr:cNvSpPr>
              <a:spLocks noTextEdit="1"/>
            </xdr:cNvSpPr>
          </xdr:nvSpPr>
          <xdr:spPr>
            <a:xfrm>
              <a:off x="0" y="0"/>
              <a:ext cx="1828800" cy="5194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0</xdr:row>
      <xdr:rowOff>0</xdr:rowOff>
    </xdr:from>
    <xdr:to>
      <xdr:col>12</xdr:col>
      <xdr:colOff>190500</xdr:colOff>
      <xdr:row>27</xdr:row>
      <xdr:rowOff>69850</xdr:rowOff>
    </xdr:to>
    <xdr:graphicFrame macro="">
      <xdr:nvGraphicFramePr>
        <xdr:cNvPr id="3" name="Chart 2">
          <a:extLst>
            <a:ext uri="{FF2B5EF4-FFF2-40B4-BE49-F238E27FC236}">
              <a16:creationId xmlns:a16="http://schemas.microsoft.com/office/drawing/2014/main" id="{306F7C80-966C-8A4E-8B44-9FF074DCC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292100</xdr:colOff>
      <xdr:row>2</xdr:row>
      <xdr:rowOff>0</xdr:rowOff>
    </xdr:from>
    <xdr:to>
      <xdr:col>21</xdr:col>
      <xdr:colOff>63500</xdr:colOff>
      <xdr:row>21</xdr:row>
      <xdr:rowOff>31750</xdr:rowOff>
    </xdr:to>
    <xdr:graphicFrame macro="">
      <xdr:nvGraphicFramePr>
        <xdr:cNvPr id="4" name="Chart 3">
          <a:extLst>
            <a:ext uri="{FF2B5EF4-FFF2-40B4-BE49-F238E27FC236}">
              <a16:creationId xmlns:a16="http://schemas.microsoft.com/office/drawing/2014/main" id="{F81DED9E-80F0-B04E-BBC3-220903BC2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27</xdr:row>
      <xdr:rowOff>177800</xdr:rowOff>
    </xdr:from>
    <xdr:to>
      <xdr:col>2</xdr:col>
      <xdr:colOff>190500</xdr:colOff>
      <xdr:row>32</xdr:row>
      <xdr:rowOff>165100</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64D6F5E3-6EA4-7F44-A107-75EBAEBA893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0" y="5321300"/>
              <a:ext cx="18415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622300</xdr:colOff>
      <xdr:row>29</xdr:row>
      <xdr:rowOff>25400</xdr:rowOff>
    </xdr:from>
    <xdr:to>
      <xdr:col>8</xdr:col>
      <xdr:colOff>241300</xdr:colOff>
      <xdr:row>43</xdr:row>
      <xdr:rowOff>101600</xdr:rowOff>
    </xdr:to>
    <xdr:graphicFrame macro="">
      <xdr:nvGraphicFramePr>
        <xdr:cNvPr id="6" name="Chart 5">
          <a:extLst>
            <a:ext uri="{FF2B5EF4-FFF2-40B4-BE49-F238E27FC236}">
              <a16:creationId xmlns:a16="http://schemas.microsoft.com/office/drawing/2014/main" id="{75188DBE-7346-964B-A6BA-3C6512E8A4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622300</xdr:colOff>
      <xdr:row>10</xdr:row>
      <xdr:rowOff>114300</xdr:rowOff>
    </xdr:from>
    <xdr:to>
      <xdr:col>9</xdr:col>
      <xdr:colOff>393700</xdr:colOff>
      <xdr:row>29</xdr:row>
      <xdr:rowOff>146050</xdr:rowOff>
    </xdr:to>
    <xdr:graphicFrame macro="">
      <xdr:nvGraphicFramePr>
        <xdr:cNvPr id="4" name="Chart 3">
          <a:extLst>
            <a:ext uri="{FF2B5EF4-FFF2-40B4-BE49-F238E27FC236}">
              <a16:creationId xmlns:a16="http://schemas.microsoft.com/office/drawing/2014/main" id="{2BCD377F-2BC3-C1BF-0842-2BE8B55924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152400</xdr:colOff>
      <xdr:row>15</xdr:row>
      <xdr:rowOff>69850</xdr:rowOff>
    </xdr:from>
    <xdr:to>
      <xdr:col>11</xdr:col>
      <xdr:colOff>596900</xdr:colOff>
      <xdr:row>29</xdr:row>
      <xdr:rowOff>146050</xdr:rowOff>
    </xdr:to>
    <xdr:graphicFrame macro="">
      <xdr:nvGraphicFramePr>
        <xdr:cNvPr id="5" name="Chart 4">
          <a:extLst>
            <a:ext uri="{FF2B5EF4-FFF2-40B4-BE49-F238E27FC236}">
              <a16:creationId xmlns:a16="http://schemas.microsoft.com/office/drawing/2014/main" id="{38B0B882-5F97-30FE-C8E1-D1BC9551C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15</xdr:row>
      <xdr:rowOff>127001</xdr:rowOff>
    </xdr:from>
    <xdr:to>
      <xdr:col>5</xdr:col>
      <xdr:colOff>749300</xdr:colOff>
      <xdr:row>20</xdr:row>
      <xdr:rowOff>114301</xdr:rowOff>
    </xdr:to>
    <mc:AlternateContent xmlns:mc="http://schemas.openxmlformats.org/markup-compatibility/2006" xmlns:a14="http://schemas.microsoft.com/office/drawing/2010/main">
      <mc:Choice Requires="a14">
        <xdr:graphicFrame macro="">
          <xdr:nvGraphicFramePr>
            <xdr:cNvPr id="6" name="Quarter">
              <a:extLst>
                <a:ext uri="{FF2B5EF4-FFF2-40B4-BE49-F238E27FC236}">
                  <a16:creationId xmlns:a16="http://schemas.microsoft.com/office/drawing/2014/main" id="{7E9217C7-95F2-6491-23C3-2B0C25801EFE}"/>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933700" y="2984501"/>
              <a:ext cx="1828800" cy="939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laya Gaur" refreshedDate="45865.017535069448" createdVersion="8" refreshedVersion="8" minRefreshableVersion="3" recordCount="205" xr:uid="{FF526F95-FAC4-E04C-97F5-E5A794457B53}">
  <cacheSource type="worksheet">
    <worksheetSource ref="A1:T206" sheet="Sheet3"/>
  </cacheSource>
  <cacheFields count="20">
    <cacheField name="Date" numFmtId="0">
      <sharedItems containsSemiMixedTypes="0" containsNonDate="0" containsDate="1" containsString="0" minDate="2025-01-01T00:00:00" maxDate="2025-06-10T00:00:00"/>
    </cacheField>
    <cacheField name="Quarter" numFmtId="0">
      <sharedItems count="2">
        <s v="Quarter1"/>
        <s v="Quarter2"/>
      </sharedItems>
    </cacheField>
    <cacheField name="SECTOR" numFmtId="0">
      <sharedItems/>
    </cacheField>
    <cacheField name="Place of Exceedance" numFmtId="0">
      <sharedItems count="27">
        <s v="SXR"/>
        <s v="PAT"/>
        <s v="DEL"/>
        <s v="GOP"/>
        <s v="HYD"/>
        <s v="AYJ"/>
        <s v="GOX"/>
        <s v="CCJ"/>
        <s v="PNQ"/>
        <s v="BOM"/>
        <s v="CCU"/>
        <s v="VNS"/>
        <s v="BLR"/>
        <s v="AMD"/>
        <s v="IXD"/>
        <s v="IXL"/>
        <s v="IXB"/>
        <s v="DXB"/>
        <s v="IXJ"/>
        <s v="DBR"/>
        <s v="IXZ"/>
        <s v="MAA"/>
        <s v="COK"/>
        <s v="DED"/>
        <s v="BKK"/>
        <s v="JAI"/>
        <s v="KTM"/>
      </sharedItems>
    </cacheField>
    <cacheField name="CAPT" numFmtId="0">
      <sharedItems/>
    </cacheField>
    <cacheField name="F/O" numFmtId="0">
      <sharedItems/>
    </cacheField>
    <cacheField name="EXCEEDANCE" numFmtId="0">
      <sharedItems count="53">
        <s v="Deviation Above Glideslope (&lt;1000 ft)"/>
        <s v="Go around"/>
        <s v="GPWS (GLIDESLOPE)"/>
        <s v="Deviation Below Glideslope (&lt;1000 ft)"/>
        <s v="Excessive Bank after Take-off (0-400 ft)"/>
        <s v="Pitch Rate High During Take-off (Average)"/>
        <s v="Long landing"/>
        <s v="Localizer Deviation (&lt;1000 ft)"/>
        <s v="High Taxi Speed (Straight)"/>
        <s v="Early Autopilot Engagement"/>
        <s v="Pitch Attitude Low at Landing"/>
        <s v="Max Landing Weight"/>
        <s v="Flap 30 Speed Exceeded"/>
        <s v="High Rate of Descent (500-100 ft)"/>
        <s v="Go around 1st"/>
        <s v="Go around 2nd"/>
        <s v="Low Rate of Descent (&lt;1000 ft)"/>
        <s v="Late Thrust Reverser Deployment"/>
        <s v="Thrust Reverser Not Deployed"/>
        <s v="Flap Placard Speed Exceeded"/>
        <s v="Approach Speed High (500- 50 ft)"/>
        <s v="GPWS (TERRAIN)"/>
        <s v="GPWS (PULL UP)"/>
        <s v="Approach Speed High (500-50 ft)"/>
        <s v="Approach Speed High (&lt;50 ft)"/>
        <s v="Exceesive Bank After take-off &gt;400 ft"/>
        <s v="Flap 15 Speed Exceeded"/>
        <s v="MMO Exceeded"/>
        <s v="Pitch Attitude High at Take-off"/>
        <s v="MAX EGT/ITT (Continuous) #1"/>
        <s v="Deviation Below Glideslope&lt;1000 ft"/>
        <s v="Windshear Warning"/>
        <s v="High Vertical Acceleration (Landing)"/>
        <s v="MAX EGT/ITT (Continuous) #2"/>
        <s v="Approach Speed High (1000-500 ft)"/>
        <s v="GPWS (TOO LOW TERRAIN)"/>
        <s v="Stick Shaker"/>
        <s v="Low Normal Acceleration (Air)"/>
        <s v="Gear Retraction Speed Exceeded"/>
        <s v="High Taxi Speed (Runway Backtrack)"/>
        <s v="Climb Out Speed Low (35 ft - 400 ft)"/>
        <s v="Late Landing Flap"/>
        <s v="Speedbrakes on Approach"/>
        <s v="MAX EGT/ITT (Continuous)#2"/>
        <s v="High Rate of Descent (1000-500 ft)"/>
        <s v="Long landing(Disregard)"/>
        <s v="Go around 1st "/>
        <s v="Go around 2nd "/>
        <s v="Unstick Speed High"/>
        <s v="Early Config Change After Take-off (FLAP)"/>
        <s v="Climb Out Speed Low (400 ft - 800 ft)"/>
        <s v="Climb Out Speed Low (&lt;35 ft)"/>
        <s v="Excessive Bank after Take-off (&gt;400 ft)"/>
      </sharedItems>
    </cacheField>
    <cacheField name="Phase" numFmtId="0">
      <sharedItems count="3">
        <s v="Approach"/>
        <s v="Climb"/>
        <s v="Taxi"/>
      </sharedItems>
    </cacheField>
    <cacheField name="Category" numFmtId="0">
      <sharedItems/>
    </cacheField>
    <cacheField name="Analysis" numFmtId="0">
      <sharedItems/>
    </cacheField>
    <cacheField name="Captain + Exceedances" numFmtId="0">
      <sharedItems count="180">
        <s v="ANAND MURTHY TIWARI | Deviation Above Glideslope (&lt;1000 ft)"/>
        <s v="NIMISH KUMAR SINGH | Go around"/>
        <s v="SUDHIR SHARMA | GPWS (GLIDESLOPE)"/>
        <s v="SUDHIR SHARMA | Deviation Below Glideslope (&lt;1000 ft)"/>
        <s v="SURYA BIR SINGH | Go around"/>
        <s v="PRATIK KHAIRMODE | Excessive Bank after Take-off (0-400 ft)"/>
        <s v="ALOK KUMAR GARG | GPWS (GLIDESLOPE)"/>
        <s v="ALOK KUMAR GARG | Deviation Below Glideslope (&lt;1000 ft)"/>
        <s v="JATIN CHANDRAKANT MER | Deviation Below Glideslope (&lt;1000 ft)"/>
        <s v="RASHMI SHARMA | Pitch Rate High During Take-off (Average)"/>
        <s v="ISHAN SHARMA. | Long landing"/>
        <s v="ANIL ARORA | Localizer Deviation (&lt;1000 ft)"/>
        <s v="ANIL ARORA | Deviation Below Glideslope (&lt;1000 ft)"/>
        <s v="SAHIL TALWAR | GPWS (GLIDESLOPE)"/>
        <s v="SAHIL TALWAR | Deviation Below Glideslope (&lt;1000 ft)"/>
        <s v="TEJAS SALUJA | High Taxi Speed (Straight)"/>
        <s v="VINAYDEEP BILHATIYA | Early Autopilot Engagement"/>
        <s v="CHIRAG PRAKASH VANWARI | GPWS (GLIDESLOPE)"/>
        <s v="CHIRAG PRAKASH VANWARI | Deviation Below Glideslope (&lt;1000 ft)"/>
        <s v="RAJIV MOHAN | Pitch Attitude Low at Landing"/>
        <s v="AMALENDU | Go around"/>
        <s v="ASHEESH GUPTA | Go around"/>
        <s v="ANAND MURTHY TIWARI | Max Landing Weight"/>
        <s v="TANMAY GANESH KELUSKAR | Flap 30 Speed Exceeded"/>
        <s v="TANMAY GANESH KELUSKAR | High Rate of Descent (500-100 ft)"/>
        <s v="RAJIV MOHAN | Go around 1st"/>
        <s v="RAJIV MOHAN | Go around 2nd"/>
        <s v="SNEHA SHEKHAWAT | GPWS (GLIDESLOPE)"/>
        <s v="SNEHA SHEKHAWAT | Deviation Below Glideslope (&lt;1000 ft)"/>
        <s v="ADITYA KOLHATKAR | Low Rate of Descent (&lt;1000 ft)"/>
        <s v="ALKESH AJAYKUMAR NAIR | Low Rate of Descent (&lt;1000 ft)"/>
        <s v="ALKESH AJAYKUMAR NAIR | Late Thrust Reverser Deployment"/>
        <s v="ARVINDER SINGH | High Rate of Descent (500-100 ft)"/>
        <s v="SNEH DEEP | Thrust Reverser Not Deployed"/>
        <s v="HIMANI SAREEN | Late Thrust Reverser Deployment"/>
        <s v="PARITOSH KUMAR SINGH | Deviation Below Glideslope (&lt;1000 ft)"/>
        <s v="SHAKTI SATYAKUMAR KAUSHAL | Deviation Below Glideslope (&lt;1000 ft)"/>
        <s v="ARVINDER SINGH | Deviation Below Glideslope (&lt;1000 ft)"/>
        <s v="SHAKTI SATYAKUMAR KAUSHAL | Go around"/>
        <s v="SHAKTI SATYAKUMAR KAUSHAL | Flap Placard Speed Exceeded"/>
        <s v="AMAN  JAIN | Deviation Below Glideslope (&lt;1000 ft)"/>
        <s v="KUNAL HITEN PARIKH | Go around"/>
        <s v="HARICHARAN SATYANARAYAN BANSAL | Approach Speed High (500- 50 ft)"/>
        <s v="MOHIT KUMAR | Late Thrust Reverser Deployment"/>
        <s v="VINAY KUMAR SINGH | High Rate of Descent (500-100 ft)"/>
        <s v="AMAN  JAIN | Long Landing"/>
        <s v="OLYM ROY | GPWS (TERRAIN)"/>
        <s v="OLYM ROY | GPWS (PULL UP)"/>
        <s v="VINAYDEEP BILHATIYA | Go around"/>
        <s v="ASHISH JAYASWAL | Approach Speed High (500-50 ft)"/>
        <s v="ASHISH JAYASWAL | Approach Speed High (&lt;50 ft)"/>
        <s v="MANDEEP KAUR. | Go around"/>
        <s v="AMALENDU | Excessive Bank after Take-off (0-400 ft)"/>
        <s v="RAVINDER CHAWLA | Go around"/>
        <s v="ADITYA KOLATHKAR | Low Rate of Descent (&lt;1000 ft)"/>
        <s v="TANMAY GANESH KELUSKAR | Exceesive Bank After take-off &gt;400 ft"/>
        <s v="MAHENDRA KUVARJI CHHEDA | Low Rate of Descent (&lt;1000 ft)"/>
        <s v="CHARAN SINGH CHOUDHARY | Go around 1st"/>
        <s v="CHARAN SINGH CHOUDHARY | Go around 2nd"/>
        <s v="CHARAN SINGH CHOUDHARY | High Rate of Descent (500-100 ft)"/>
        <s v="SHAKTI SATYAKUMAR KAUSHAL | GPWS (GLIDESLOPE)"/>
        <s v="FARZAND SINGH | Approach Speed High (500-50 ft)"/>
        <s v="SAGAR SHEGOANKAR | Go around"/>
        <s v="DRON THAKUR | Flap 15 Speed Exceeded"/>
        <s v="MANAS CHATTERJEE | MMO Exceeded"/>
        <s v="ALKESH AJAYKUMAR NAIR | Go around"/>
        <s v="PAVANDEEP SINGH BHASIN | Go around"/>
        <s v="PAVANDEEP SINGH BHASIN | Low Rate of Descent (&lt;1000 ft)"/>
        <s v="MOHIT BHARDWAJ | Go around"/>
        <s v="SAURAV CHAKRABARTY | Deviation Below Glideslope (&lt;1000 ft)"/>
        <s v="NITIN DEV SAVLODIA | Approach Speed High (500-50 ft)"/>
        <s v="HARICHARAN SATYANARAYAN BANSAL | High Rate of Descent (500-100 ft)"/>
        <s v="MOHIT BHARDWAJ | Pitch Attitude Low at Landing"/>
        <s v="DIVYANSHU CHATURVEDI | Approach Speed High (500-50 ft)"/>
        <s v="RUPALI RAJESH PHATAK | Deviation Below Glideslope (&lt;1000 ft)"/>
        <s v="SAHIL TALWAR | Pitch Attitude High at Take-off"/>
        <s v="BIHAAG BRAHMBHATT | Long Landing"/>
        <s v="NILESH KUMAR NONHARE | MAX EGT/ITT (Continuous) #1"/>
        <s v="DARSHAN DALAL | GPWS (GLIDESLOPE)"/>
        <s v="DARSHAN DALAL | Deviation Below Glideslope (&lt;1000 ft)"/>
        <s v="SNEHA SHEKHAWAT | Late Thrust Reverser Deployment"/>
        <s v="HIMANI SAREEN | Go around"/>
        <s v="HIMANI SAREEN | GPWS (GLIDESLOPE)"/>
        <s v="HIMANI SAREEN | Deviation Below Glideslope&lt;1000 ft"/>
        <s v="HIMANI SAREEN | Windshear Warning"/>
        <s v="MOHIT KUMAR | GPWS (GLIDESLOPE)"/>
        <s v="MOHIT KUMAR | Low Rate of Descent (&lt;1000 ft)"/>
        <s v="DHRUV MITAL | High Vertical Acceleration (Landing)"/>
        <s v="ARIHANT JAIN | MAX EGT/ITT (Continuous) #2"/>
        <s v="NITIN DEV SAVLODIA | High Taxi Speed (Straight)"/>
        <s v="MOHIT BHARDWAJ | Deviation Above Glideslope (&lt;1000 ft)"/>
        <s v="TEJAS SALUJA | Deviation Below Glideslope (&lt;1000 ft)"/>
        <s v="MAHENDRA KUVARJI CHHEDA | Pitch Rate High During Take-off (Average)"/>
        <s v="SUDHIR SHARMA | Approach Speed High (500-50 ft)"/>
        <s v="OLYM ROY | High Taxi Speed (Straight)"/>
        <s v="NILESH KUMAR NONHARE | Long Landing"/>
        <s v="RAHUL SHARMA | High Rate of Descent (500-100 ft)"/>
        <s v="JONAS DSOUZA | Go around"/>
        <s v="ANEESH ATOORI | High Rate of Descent (500-100 ft)"/>
        <s v="SANKET MAHESH MARULKAR | High Rate of Descent (500-100 ft)"/>
        <s v="NILESH KUMAR NONHARE | High Taxi Speed (Straight)"/>
        <s v="MANAS CHATTERJEE | Approach Speed High (1000-500 ft)"/>
        <s v="DHRUV MITAL | Approach Speed High (&lt;50 ft)"/>
        <s v="SANKET MAHESH MARULKAR | MAX EGT/ITT (Continuous) #1"/>
        <s v="SAURABH SARKAR | Go around"/>
        <s v="VARUN GUPTA | Go around"/>
        <s v="AMALENDU | MAX EGT/ITT (Continuous) #1"/>
        <s v="ANUBHAV KUMAR | MAX EGT/ITT (Continuous) #1"/>
        <s v="ABHIJEET ARUN BHOSALE | MAX EGT/ITT (Continuous) #1"/>
        <s v="MANAS CHATTERJEE | High Rate of Descent (500-100 ft)"/>
        <s v="SOUMYA SIVA GHOSH | High Rate of Descent (500-100 ft)"/>
        <s v="PUNEET SHARMA | High Rate of Descent (500-100 ft)"/>
        <s v="PUNEET SHARMA | Go around"/>
        <s v="VINAY KUMAR SINGH | Go around"/>
        <s v="NEENA SINGH | Long landing"/>
        <s v="RASHMI SHARMA | GPWS (TOO LOW TERRAIN)"/>
        <s v="HIMANI SAREEN | Stick Shaker"/>
        <s v="SURABHI | Pitch Rate High During Take-off (Average)"/>
        <s v="MANDEEP KAUR. | Low Normal Acceleration (Air)"/>
        <s v="ANAND MURTHY TIWARI | High Rate of Descent (500-100 ft)"/>
        <s v="DIVYANSHU CHATURVEDI | MAX EGT/ITT (Continuous) #2"/>
        <s v="ARVINDER SINGH | MAX EGT/ITT (Continuous) #2"/>
        <s v="KAPIL KUMAR MANGLIK | Low Rate of Descent (&lt;1000 ft)"/>
        <s v="SOUMYA SIVA GHOSH | Go around"/>
        <s v="SANJEEV KUMAR | Gear Retraction Speed Exceeded"/>
        <s v="NADEEM AHMAD | Go around"/>
        <s v="DHRUV MITAL | Approach Speed High (500-50 ft)"/>
        <s v="TANMAY GANESH KELUSKAR | High Taxi Speed (Runway Backtrack)"/>
        <s v="RAJIV KUMAR MENDIRATTA | Climb Out Speed Low (35 ft - 400 ft)"/>
        <s v="ANEESH ATOORI | MAX EGT/ITT (Continuous) #2"/>
        <s v="PUNEET SHARMA | MAX EGT/ITT (Continuous) #2"/>
        <s v="MAHENDRA KUVARJI CHHEDA | Flap Placard Speed Exceeded"/>
        <s v="SANJEEV KUMAR | Go around"/>
        <s v="DIVYANSHU CHATURVEDI | Go around"/>
        <s v="AMAN  JAIN | Go around"/>
        <s v="SUDHIR SHARMA | Late Landing Flap"/>
        <s v="RASHMI SHARMA | Low Rate of Descent (&lt;1000 ft)"/>
        <s v="SANJEEV KUMAR | Approach Speed High (500-50 ft)"/>
        <s v="JAMSHEED MOHAMMED IBRAHIM SYED | Speedbrakes on Approach"/>
        <s v="JATIN CHANDRAKANT MER | Stick Shaker"/>
        <s v="CHARAN SINGH CHOUDHARY | Approach Speed High (500- 50 ft)"/>
        <s v="ARIHANT JAIN | MAX EGT/ITT (Continuous)#2"/>
        <s v="ASHOKKUMAR GYANCHAND TALREJA | Flap Placard Speed Exceeded"/>
        <s v="MANAS CHATTERJEE | MAX EGT/ITT (Continuous) #2"/>
        <s v="SUDHIR SHARMA | Pitch Attitude Low at Landing"/>
        <s v="SANJEEV KUMAR | Approach Speed High (1000-500 ft)"/>
        <s v="SANJEEV KUMAR | Late Landing Flap"/>
        <s v="VARUN GUPTA | MAX EGT/ITT (Continuous) #2"/>
        <s v="RAHUL SHARMA. | High Rate of Descent (1000-500 ft)"/>
        <s v="RAJIV SINGH | Go around"/>
        <s v="AMALENDU | Long landing(Disregard)"/>
        <s v="PARITOSH KUMAR SINGH | Low Rate of Descent (&lt;1000 ft)"/>
        <s v="PARITOSH KUMAR SINGH | Approach Speed High (500-50 ft)"/>
        <s v="PARITOSH KUMAR SINGH | Approach Speed High (&lt;50 ft)"/>
        <s v="ANUBHAV KUMAR_x000a_ | Late Landing Flap"/>
        <s v="HARINDER SINGH | Long landing"/>
        <s v="ANAND MURTHY TIWARI | Go around"/>
        <s v="MAHENDRA KUVARJI CHHEDA | Late Landing Flap"/>
        <s v="MAHENDRA KUVARJI CHHEDA | Approach Speed High (1000-500 ft)"/>
        <s v="MANABENDRA DEKA | Go around"/>
        <s v="ARPIT ASHIT GANDHI | Go around 1st "/>
        <s v="ARPIT ASHIT GANDHI | Go around 2nd "/>
        <s v="BHUSHAN SHAILESH SHAH | Go around"/>
        <s v="SNEHA SHEKHAWAT | Excessive Bank after Take-off (0-400 ft)"/>
        <s v="RUPALI PIMPLE | Unstick Speed High"/>
        <s v="ISHAN SHARMA. | Early Config Change After Take-off (FLAP)"/>
        <s v="ASHISH MAHESHKUMAR MAYANI | MAX EGT/ITT (Continuous) #2"/>
        <s v="MANABENDRA DEKA | Excessive Bank after Take-off (0-400 ft)"/>
        <s v="ASHISH JAYASWAL | Pitch Attitude Low at Landing"/>
        <s v="RASHMI SHARMA | Go around"/>
        <s v="CHARAN SINGH CHOUDHARY | Approach Speed High (500-50 ft)"/>
        <s v="CHARAN SINGH CHOUDHARY | Approach Speed High (&lt;50 ft)"/>
        <s v="SANJEEV KUMAR | Go around 1st"/>
        <s v="SANJEEV KUMAR | Go around 2nd"/>
        <s v="RAHUL SHARMA. | High Rate of Descent (500-100 ft)"/>
        <s v="Olym Roy | High Vertical Acceleration (Landing)"/>
        <s v="MAHENDRA KUVARJI CHHEDA | Climb Out Speed Low (400 ft - 800 ft)"/>
        <s v="ARUN VASHIST | Climb Out Speed Low (&lt;35 ft)"/>
        <s v="NILESH KUMAR NONHARE | Go around"/>
        <s v="ASHISH MAHESHKUMAR MAYANI | Excessive Bank after Take-off (&gt;400 ft)"/>
      </sharedItems>
    </cacheField>
    <cacheField name="F/O + Exceedances" numFmtId="0">
      <sharedItems count="193">
        <s v="ANUPAM SHARMA. | Deviation Above Glideslope (&lt;1000 ft)"/>
        <s v="SUMIT GUPTA | Go around"/>
        <s v="PARAS JYOT SINGH AHLUWALIA | GPWS (GLIDESLOPE)"/>
        <s v="PARAS JYOT SINGH AHLUWALIA | Deviation Below Glideslope (&lt;1000 ft)"/>
        <s v="SANJANA SANJAY AMRITE | Go around"/>
        <s v="CHETNA SEHRAWAT | Excessive Bank after Take-off (0-400 ft)"/>
        <s v="RUCHIR MANDAVIA | GPWS (GLIDESLOPE)"/>
        <s v="RUCHIR MANDAVIA | Deviation Below Glideslope (&lt;1000 ft)"/>
        <s v="VISHAL CHHIKARA | Deviation Below Glideslope (&lt;1000 ft)"/>
        <s v="ASHISH MISTRY | Pitch Rate High During Take-off (Average)"/>
        <s v="ALHAD SUDHIR PHADKE | Long landing"/>
        <s v="ALOK KUMAR GARG | Localizer Deviation (&lt;1000 ft)"/>
        <s v="ALOK KUMAR GARG | Deviation Below Glideslope (&lt;1000 ft)"/>
        <s v="UMANG BHATIA | GPWS (GLIDESLOPE)"/>
        <s v="UMANG BHATIA | Deviation Below Glideslope (&lt;1000 ft)"/>
        <s v="KAMAL KUMAR | High Taxi Speed (Straight)"/>
        <s v="SANCHIT NAGAR | Early Autopilot Engagement"/>
        <s v="RACHITA MATTA | Early Autopilot Engagement"/>
        <s v="SANTOSH MAYUR RAYAN PALAKODETY | GPWS (GLIDESLOPE)"/>
        <s v="SANTOSH MAYUR RAYAN PALAKODETY | Deviation Below Glideslope (&lt;1000 ft)"/>
        <s v="RAKSHITA MALIK | Pitch Attitude Low at Landing"/>
        <s v="SANDEEP PHUTELA | Go around"/>
        <s v="NANCY NAYYAR | Go around"/>
        <s v="SAURABH SHAHI | Max Landing Weight"/>
        <s v="YUNUSAHMED MUHAMMADFARUK KHARADI | Flap 30 Speed Exceeded"/>
        <s v="YUNUSAHMED MUHAMMADFARUK KHARADI | High Rate of Descent (500-100 ft)"/>
        <s v="KARAN MALHOTRA | Go around 1st"/>
        <s v="KARAN MALHOTRA | Go around 2nd"/>
        <s v="SAMEL MAKHIJA | GPWS (GLIDESLOPE)"/>
        <s v="SAMEL MAKHIJA | Deviation Below Glideslope (&lt;1000 ft)"/>
        <s v="SIDDHARTHA MOHAN | Low Rate of Descent (&lt;1000 ft)"/>
        <s v="SUPREET KAUR GILL | Low Rate of Descent (&lt;1000 ft)"/>
        <s v="ABHISHEK PANDURANG PHALKE | Late Thrust Reverser Deployment"/>
        <s v="VIKRAM  SINGH | High Rate of Descent (500-100 ft)"/>
        <s v="VIKRAM  SINGH | Thrust Reverser Not Deployed"/>
        <s v="NANCY NAYYAR | Late Thrust Reverser Deployment"/>
        <s v="NIKHIL NARENDRA KOTHARI | Deviation Below Glideslope (&lt;1000 ft)"/>
        <s v="NITISH SINGH | Deviation Below Glideslope (&lt;1000 ft)"/>
        <s v="SAHIL SHARMA | Deviation Below Glideslope (&lt;1000 ft)"/>
        <s v="SHABNAM GAFOOR KHAN SARGUROH | Go around"/>
        <s v="SHABNAM GAFOOR KHAN SARGUROH | Flap Placard Speed Exceeded"/>
        <s v="ANIL ARORA | Deviation Below Glideslope (&lt;1000 ft)"/>
        <s v="SHRIKANT ANANT PATIL | Go around"/>
        <s v="SAURABH SHAHI | Deviation Below Glideslope (&lt;1000 ft)"/>
        <s v="ANUPAM SHARMA. | Approach Speed High (500- 50 ft)"/>
        <s v="RAJIB CHOWDHURY | Late Thrust Reverser Deployment"/>
        <s v="ANKUR BALANA | High Rate of Descent (500-100 ft)"/>
        <s v="ASHLESH BAPURAO SHINDE | Deviation Below Glideslope (&lt;1000 ft)"/>
        <s v="AKASH SANDHU | Long Landing"/>
        <s v="SUKANTA SARKAR | GPWS (TERRAIN)"/>
        <s v="SUKANTA SARKAR | GPWS (PULL UP)"/>
        <s v="PRITAM HINDUJA | Go around"/>
        <s v="SAHIL SHARMA | Approach Speed High (500-50 ft)"/>
        <s v="SAHIL SHARMA | Approach Speed High (&lt;50 ft)"/>
        <s v="MANISH SINGH | Go around"/>
        <s v="RITURAJ JAISWAL | Excessive Bank after Take-off (0-400 ft)"/>
        <s v="AKASH SANDHU | Go around"/>
        <s v="NITISH SINGH | Low Rate of Descent (&lt;1000 ft)"/>
        <s v="ADNAN ABDUL JABBAR | Exceesive Bank After take-off &gt;400 ft"/>
        <s v="NAMITA SHRIPAL CHAURASIA | Go around 1st"/>
        <s v="NAMITA SHRIPAL CHAURASIA | Go around 2nd"/>
        <s v="NAMITA SHRIPAL CHAURASIA | High Rate of Descent (500-100 ft)"/>
        <s v="NIKHIL CHAWLA | GPWS (GLIDESLOPE)"/>
        <s v="NIKHIL CHAWLA | Deviation Below Glideslope (&lt;1000 ft)"/>
        <s v="BHUSHAN SHAILESH SHAH | Approach Speed High (500-50 ft)"/>
        <s v="ALHAD SUDHIR PHADKE | Go around"/>
        <s v="ANTARA PURI | Go around"/>
        <s v="AYAAN AHMED SIDDIQUI | Flap 15 Speed Exceeded"/>
        <s v="RONNY SINGH | Pitch Attitude Low at Landing"/>
        <s v="SANJANA SANJAY AMRITE | MMO Exceeded"/>
        <s v="UNNATI PRAMOD KAMLAKAR | High Rate of Descent (500-100 ft)"/>
        <s v="AKSHEY SOOD | Go around"/>
        <s v="MOHIT KUMAR | Go around"/>
        <s v="MOHIT KUMAR | Low Rate of Descent (&lt;1000 ft)"/>
        <s v="ABHIMANYU JAMWAL. | Go around"/>
        <s v="NAMITA SHRIPAL CHAURASIA | Deviation Below Glideslope (&lt;1000 ft)"/>
        <s v="SHREYASKUMAR ANILKUMAR CHAUDHARI | Approach Speed High (500-50 ft)"/>
        <s v="ROHIT PANDEY | High Rate of Descent (500-100 ft)"/>
        <s v="DIVYANG BAJPAI | Pitch Attitude Low at Landing"/>
        <s v="ASHISH JAYASWAL | Approach Speed High (500-50 ft)"/>
        <s v="BHAKTI KIRAN BAGARIA | Deviation Below Glideslope (&lt;1000 ft)"/>
        <s v="SANDEEP PHUTELA | Pitch Attitude High at Take-off"/>
        <s v="NAMIT DANG | Long Landing"/>
        <s v="AKASH SANDHU | MAX EGT/ITT (Continuous) #1"/>
        <s v="SAMEL MAKHIJA | Late Thrust Reverser Deployment"/>
        <s v="RAKSHITA MALIK | Go around"/>
        <s v="RAKSHITA MALIK | GPWS (GLIDESLOPE)"/>
        <s v="RAKSHITA MALIK | Deviation Below Glideslope&lt;1000 ft"/>
        <s v="RAKSHITA MALIK | Windshear Warning"/>
        <s v="NAPINDER JEET KAUR | GPWS (GLIDESLOPE)"/>
        <s v="NAPINDER JEET KAUR | Low Rate of Descent (&lt;1000 ft)"/>
        <s v="PRITAM HINDUJA | High Vertical Acceleration (Landing)"/>
        <s v="RITURAJ JAISWAL | MAX EGT/ITT (Continuous) #2"/>
        <s v="ANIRUDH KRISHNA | High Taxi Speed (Straight)"/>
        <s v="KARAN MALHOTRA | Deviation Above Glideslope (&lt;1000 ft)"/>
        <s v="AKSHEY SOOD | Deviation Below Glideslope (&lt;1000 ft)"/>
        <s v="SHREYASKUMAR ANILKUMAR CHAUDHARI | Pitch Rate High During Take-off (Average)"/>
        <s v="SIDDHARTHA MOHAN | Approach Speed High (500-50 ft)"/>
        <s v="ASHLESH BAPURAO SHINDE | High Taxi Speed (Straight)"/>
        <s v="AMALENDU | Long Landing"/>
        <s v="SUPREET KAUR GILL | High Rate of Descent (500-100 ft)"/>
        <s v="ANIRUDH KRISHNA | Go around"/>
        <s v="VINAY FAUZDAR | Late Thrust Reverser Deployment"/>
        <s v="SAMSUNDAR ANUP BALLA | High Rate of Descent (500-100 ft)"/>
        <s v="DIVYANSHU CHATURVEDI | High Taxi Speed (Straight)"/>
        <s v="AKSHEY SOOD | Approach Speed High (1000-500 ft)"/>
        <s v="SUDHEER MAINGI | Approach Speed High (&lt;50 ft)"/>
        <s v="ROHIT YENU TARI | MAX EGT/ITT (Continuous) #1"/>
        <s v="SAMSUNDAR ANUP BALLA | Go around"/>
        <s v="SUMIT GUPTA | Deviation Above Glideslope (&lt;1000 ft)"/>
        <s v="HARSHIT SINGH | MAX EGT/ITT (Continuous) #1"/>
        <s v="AADIL MOHAMMADSHAFI GANDHI | MAX EGT/ITT (Continuous) #1"/>
        <s v="AMEYA DINESH PUJARI | MAX EGT/ITT (Continuous) #1"/>
        <s v="SUNIL PREMCHAND NARWANI | High Rate of Descent (500-100 ft)"/>
        <s v="RUCHIR MANDAVIA | High Rate of Descent (500-100 ft)"/>
        <s v="SANJANA SANJAY AMRITE | High Rate of Descent (500-100 ft)"/>
        <s v="VIRENDRA MALHOTRA | Long landing"/>
        <s v="NITISH SINGH | GPWS (TOO LOW TERRAIN)"/>
        <s v="SUKIRAT SINGH | Stick Shaker"/>
        <s v="AVIN SHARMA | Pitch Rate High During Take-off (Average)"/>
        <s v="KARAN MALHOTRA | Low Normal Acceleration (Air)"/>
        <s v="ANUPAM SHARMA. | High Rate of Descent (500-100 ft)"/>
        <s v="VINAY FAUZDAR | MAX EGT/ITT (Continuous) #2"/>
        <s v="ROSHYA SEBI | MAX EGT/ITT (Continuous) #2"/>
        <s v="AMALENDU | Low Rate of Descent (&lt;1000 ft)"/>
        <s v="ANJUL PRAVEEN TOPPO | Go around"/>
        <s v="RUCHIR MANDAVIA | Gear Retraction Speed Exceeded"/>
        <s v="MOHIT KADIAN | High Rate of Descent (500-100 ft)"/>
        <s v="UNNATI PRAMOD KAMLAKAR | Go around"/>
        <s v="PRITAM HINDUJA | Approach Speed High (&lt;50 ft)"/>
        <s v="PRITAM HINDUJA | Approach Speed High (500-50 ft)"/>
        <s v="SAHIL SHARMA | High Taxi Speed (Runway Backtrack)"/>
        <s v="SIDDHARTHA MOHAN | Climb Out Speed Low (35 ft - 400 ft)"/>
        <s v="NIKHIL NARENDRA KOTHARI | MAX EGT/ITT (Continuous) #2"/>
        <s v="ROHIT YENU TARI | MAX EGT/ITT (Continuous) #2"/>
        <s v="NAMITA SHRIPAL CHAURASIA | Flap Placard Speed Exceeded"/>
        <s v="NAMIT DANG | Go around"/>
        <s v="SHIVOM SINGH | Go around"/>
        <s v="ANIL ARORA | Go around"/>
        <s v="NANCY NAYYAR | Late Landing Flap"/>
        <s v="NIKHIL CHAWLA | High Taxi Speed (Straight)"/>
        <s v="DIVYANG BAJPAI | Low Rate of Descent (&lt;1000 ft)"/>
        <s v="VIKRAM  SINGH | Go around"/>
        <s v="YUNUSAHMED MUHAMMADFARUK KHARADI | Approach Speed High (500-50 ft)"/>
        <s v="KARAN PRATAP SINGH VIRK | Speedbrakes on Approach"/>
        <s v="ADITYA SATISH BAKSHI | Stick Shaker"/>
        <s v="SHABNAM GAFOOR KHAN SARGUROH | Approach Speed High (500- 50 ft)"/>
        <s v="SHIRIN ABDUL HAMEED PASHA | Pitch Rate High During Take-off (Average)"/>
        <s v="AADIL MOHAMMADSHAFI GANDHI | MAX EGT/ITT (Continuous)#2"/>
        <s v="ARUN VASHIST | Go around"/>
        <s v="ALHAD SUDHIR PHADKE | Flap Placard Speed Exceeded"/>
        <s v="VARUN CHOPRA | MAX EGT/ITT (Continuous) #2"/>
        <s v="ANKUR BALANA | Pitch Attitude Low at Landing"/>
        <s v="APEKSHA SINGH. | Approach Speed High (1000-500 ft)"/>
        <s v="APEKSHA SINGH. | Late Landing Flap"/>
        <s v="PRASAD RAVINDRA MANIYAR | MAX EGT/ITT (Continuous) #2"/>
        <s v="SANJIV MIDHA | High Rate of Descent (1000-500 ft)"/>
        <s v="SABAREE THANGAVEL | Deviation Below Glideslope (&lt;1000 ft)"/>
        <s v="VAIBHAV SINGH | Go around"/>
        <s v="DEEPINDER PAL SINGH WALIA | Long landing(Disregard)"/>
        <s v="RONNY SINGH | Low Rate of Descent (&lt;1000 ft)"/>
        <s v="RONNY SINGH | Approach Speed High (500-50 ft)"/>
        <s v="RONNY SINGH | Approach Speed High (&lt;50 ft)"/>
        <s v="VISHAL CHHIKARA | High Taxi Speed (Straight)"/>
        <s v="VIKRAM  SINGH | Late Landing Flap"/>
        <s v="SAKSHI SAXENA | Long landing"/>
        <s v="UMANG BHATIA | Go around"/>
        <s v="MAAZ MOHAMMED | Late Landing Flap"/>
        <s v="MAAZ MOHAMMED | Approach Speed High (1000-500 ft)"/>
        <s v="NIKHIL CHAWLA | Go around"/>
        <s v="RACHITA MATTA | Approach Speed High (&lt;50 ft)"/>
        <s v="SUKIRAT SINGH | Go around 1st "/>
        <s v="SUKIRAT SINGH | Go around 2nd "/>
        <s v="ADITYA SHARMA POTHURI | High Taxi Speed (Runway Backtrack)"/>
        <s v="CHIRAG PRAKASH VANWARI | Go around"/>
        <s v="SABAREE THANGAVEL | Excessive Bank after Take-off (0-400 ft)"/>
        <s v="SURABHI | Unstick Speed High"/>
        <s v="PRASHAM HARICHARAN BANSAL | Early Config Change After Take-off (FLAP)"/>
        <s v="NAVIN NARSINGHRAO SABUNKAR | MAX EGT/ITT (Continuous) #2"/>
        <s v="ROHIT PANDEY | Excessive Bank after Take-off (0-400 ft)"/>
        <s v="ANSHU SHARMA | Pitch Attitude Low at Landing"/>
        <s v="SHIRIN ABDUL HAMEED PASHA | Go around"/>
        <s v="NAVIN NARSINGHRAO SABUNKAR | Approach Speed High (500-50 ft)"/>
        <s v="NAVIN NARSINGHRAO SABUNKAR | Approach Speed High (&lt;50 ft)"/>
        <s v="ANTARA PURI | Deviation Below Glideslope (&lt;1000 ft)"/>
        <s v="SAHIL SHARMA | Go around 1st"/>
        <s v="SAHIL SHARMA | Go around 2nd"/>
        <s v="ANTARA PURI | High Rate of Descent (500-100 ft)"/>
        <s v="Shraddha Sharma | High Vertical Acceleration (Landing)"/>
        <s v="KARAN PRATAP SINGH VIRK | Climb Out Speed Low (400 ft - 800 ft)"/>
        <s v="ASHISH DAGAR | Climb Out Speed Low (&lt;35 ft)"/>
        <s v="SHREENATH RAJU NAIR | Climb Out Speed Low (&lt;35 ft)"/>
        <s v="DIVYANG BAJPAI | Excessive Bank after Take-off (&gt;400 ft)"/>
      </sharedItems>
    </cacheField>
    <cacheField name="Airport + Exceedances" numFmtId="0">
      <sharedItems count="140">
        <s v="SXR | Deviation Above Glideslope (&lt;1000 ft)"/>
        <s v="SXR | Go around"/>
        <s v="PAT | GPWS (GLIDESLOPE)"/>
        <s v="PAT | Deviation Below Glideslope (&lt;1000 ft)"/>
        <s v="DEL | Go around"/>
        <s v="GOP | Excessive Bank after Take-off (0-400 ft)"/>
        <s v="HYD | GPWS (GLIDESLOPE)"/>
        <s v="HYD | Deviation Below Glideslope (&lt;1000 ft)"/>
        <s v="AYJ | Deviation Below Glideslope (&lt;1000 ft)"/>
        <s v="PAT | Pitch Rate High During Take-off (Average)"/>
        <s v="DEL | Long landing"/>
        <s v="GOX | Localizer Deviation (&lt;1000 ft)"/>
        <s v="GOX | Deviation Below Glideslope (&lt;1000 ft)"/>
        <s v="DEL | GPWS (GLIDESLOPE)"/>
        <s v="DEL | Deviation Below Glideslope (&lt;1000 ft)"/>
        <s v="DEL | High Taxi Speed (Straight)"/>
        <s v="DEL | Early Autopilot Engagement"/>
        <s v="CCJ | GPWS (GLIDESLOPE)"/>
        <s v="CCJ | Deviation Below Glideslope (&lt;1000 ft)"/>
        <s v="PNQ | Pitch Attitude Low at Landing"/>
        <s v="GOX | Go around"/>
        <s v="SXR | Max Landing Weight"/>
        <s v="BOM | Flap 30 Speed Exceeded"/>
        <s v="BOM | High Rate of Descent (500-100 ft)"/>
        <s v="CCU | Go around 1st"/>
        <s v="CCU | Go around 2nd"/>
        <s v="VNS | GPWS (GLIDESLOPE)"/>
        <s v="VNS | Deviation Below Glideslope (&lt;1000 ft)"/>
        <s v="PNQ | Low Rate of Descent (&lt;1000 ft)"/>
        <s v="BLR | Low Rate of Descent (&lt;1000 ft)"/>
        <s v="AMD | Late Thrust Reverser Deployment"/>
        <s v="SXR | High Rate of Descent (500-100 ft)"/>
        <s v="SXR | Thrust Reverser Not Deployed"/>
        <s v="DEL | Thrust Reverser Not Deployed"/>
        <s v="DEL | Late Thrust Reverser Deployment"/>
        <s v="GOP | Deviation Below Glideslope (&lt;1000 ft)"/>
        <s v="IXD | Go around"/>
        <s v="IXD | Flap Placard Speed Exceeded"/>
        <s v="BOM | Deviation Below Glideslope (&lt;1000 ft)"/>
        <s v="BLR | Deviation Below Glideslope (&lt;1000 ft)"/>
        <s v="DEL | Approach Speed High (500- 50 ft)"/>
        <s v="CCU | GPWS (TERRAIN)"/>
        <s v="CCU | GPWS (PULL UP)"/>
        <s v="IXL | Go around"/>
        <s v="IXL | Approach Speed High (500-50 ft)"/>
        <s v="IXL | Approach Speed High (&lt;50 ft)"/>
        <s v="DEL | Excessive Bank after Take-off (0-400 ft)"/>
        <s v="IXB | Go around"/>
        <s v="AMD | Low Rate of Descent (&lt;1000 ft)"/>
        <s v="DXB | Exceesive Bank After take-off &gt;400 ft"/>
        <s v="PAT | Go around 1st"/>
        <s v="PAT | Go around 2nd"/>
        <s v="PAT | High Rate of Descent (500-100 ft)"/>
        <s v="CCU | GPWS (GLIDESLOPE)"/>
        <s v="CCU | Deviation Below Glideslope (&lt;1000 ft)"/>
        <s v="DEL | Approach Speed High (500-50 ft)"/>
        <s v="IXJ | Go around"/>
        <s v="DBR | Go around"/>
        <s v="IXB | Flap 15 Speed Exceeded"/>
        <s v="IXZ | Pitch Attitude Low at Landing"/>
        <s v="MAA | MMO Exceeded"/>
        <s v="DBR | High Rate of Descent (500-100 ft)"/>
        <s v="DBR | Low Rate of Descent (&lt;1000 ft)"/>
        <s v="AMD | Approach Speed High (500-50 ft)"/>
        <s v="IXZ | Pitch Attitude High at Take-off"/>
        <s v="AMD | Long Landing"/>
        <s v="PNQ | MAX EGT/ITT (Continuous) #1"/>
        <s v="BLR | Late Thrust Reverser Deployment"/>
        <s v="DEL | Deviation Below Glideslope&lt;1000 ft"/>
        <s v="DEL | Windshear Warning"/>
        <s v="DEL | Low Rate of Descent (&lt;1000 ft)"/>
        <s v="IXL | High Vertical Acceleration (Landing)"/>
        <s v="DEL | MAX EGT/ITT (Continuous) #2"/>
        <s v="PAT | High Taxi Speed (Straight)"/>
        <s v="DXB | Deviation Above Glideslope (&lt;1000 ft)"/>
        <s v="CCU | High Taxi Speed (Straight)"/>
        <s v="AMD | Go around"/>
        <s v="HYD | High Rate of Descent (500-100 ft)"/>
        <s v="DBR | High Taxi Speed (Straight)"/>
        <s v="BLR | Approach Speed High (1000-500 ft)"/>
        <s v="CCU | MAX EGT/ITT (Continuous) #1"/>
        <s v="COK | Go around"/>
        <s v="DEL | MAX EGT/ITT (Continuous) #1"/>
        <s v="VNS | MAX EGT/ITT (Continuous) #1"/>
        <s v="PNQ | High Rate of Descent (500-100 ft)"/>
        <s v="DEL | High Rate of Descent (500-100 ft)"/>
        <s v="PNQ | GPWS (TOO LOW TERRAIN)"/>
        <s v="DEL | Stick Shaker"/>
        <s v="IXB | Pitch Rate High During Take-off (Average)"/>
        <s v="SXR | Low Normal Acceleration (Air)"/>
        <s v="SXR | MAX EGT/ITT (Continuous) #2"/>
        <s v="CCU | Go around"/>
        <s v="DED | Gear Retraction Speed Exceeded"/>
        <s v="DXB | High Taxi Speed (Runway Backtrack)"/>
        <s v="SXR | Climb Out Speed Low (35 ft - 400 ft)"/>
        <s v="BLR | MAX EGT/ITT (Continuous) #2"/>
        <s v="DED | Flap Placard Speed Exceeded"/>
        <s v="DXB | Go around"/>
        <s v="IXJ | Late Landing Flap"/>
        <s v="DXB | High Taxi Speed (Straight)"/>
        <s v="PAT | Low Rate of Descent (&lt;1000 ft)"/>
        <s v="BKK | Go around"/>
        <s v="JAI | Approach Speed High (500-50 ft)"/>
        <s v="BOM | Speedbrakes on Approach"/>
        <s v="IXB | Stick Shaker"/>
        <s v="BOM | Approach Speed High (500- 50 ft)"/>
        <s v="DBR | Pitch Rate High During Take-off (Average)"/>
        <s v="PNQ | MAX EGT/ITT (Continuous)#2"/>
        <s v="DEL | Flap Placard Speed Exceeded"/>
        <s v="SXR | Pitch Attitude Low at Landing"/>
        <s v="BOM | Approach Speed High (1000-500 ft)"/>
        <s v="BOM | Late Landing Flap"/>
        <s v="PNQ | MAX EGT/ITT (Continuous) #2"/>
        <s v="KTM | High Rate of Descent (1000-500 ft)"/>
        <s v="DED | Deviation Below Glideslope (&lt;1000 ft)"/>
        <s v="DEL | Long landing(Disregard)"/>
        <s v="DEL | Approach Speed High (&lt;50 ft)"/>
        <s v="AMD | High Taxi Speed (Straight)"/>
        <s v="BLR | Late Landing Flap"/>
        <s v="GOX | Late Landing Flap"/>
        <s v="GOX | Approach Speed High (1000-500 ft)"/>
        <s v="DEL | Go around 1st "/>
        <s v="DEL | Go around 2nd "/>
        <s v="CCJ | High Taxi Speed (Runway Backtrack)"/>
        <s v="BLR | Excessive Bank after Take-off (0-400 ft)"/>
        <s v="DED | Unstick Speed High"/>
        <s v="DEL | Early Config Change After Take-off (FLAP)"/>
        <s v="IXB | MAX EGT/ITT (Continuous) #2"/>
        <s v="AMD | Excessive Bank after Take-off (0-400 ft)"/>
        <s v="PAT | Pitch Attitude Low at Landing"/>
        <s v="PAT | Go around"/>
        <s v="BOM | Approach Speed High (500-50 ft)"/>
        <s v="BOM | Approach Speed High (&lt;50 ft)"/>
        <s v="DEL | Go around 1st"/>
        <s v="DEL | Go around 2nd"/>
        <s v="KTM | High Rate of Descent (500-100 ft)"/>
        <s v="PNQ | High Vertical Acceleration (Landing)"/>
        <s v="DXB | Climb Out Speed Low (400 ft - 800 ft)"/>
        <s v="AMD | Climb Out Speed Low (&lt;35 ft)"/>
        <s v="BOM | Excessive Bank after Take-off (&gt;400 ft)"/>
      </sharedItems>
    </cacheField>
    <cacheField name="Duration" numFmtId="0">
      <sharedItems containsMixedTypes="1" containsNumber="1" containsInteger="1" minValue="1" maxValue="38"/>
    </cacheField>
    <cacheField name="Max Deviation" numFmtId="0">
      <sharedItems containsMixedTypes="1" containsNumber="1" minValue="1.1100000000000001" maxValue="2.09"/>
    </cacheField>
    <cacheField name="Deviation Altitude" numFmtId="0">
      <sharedItems containsMixedTypes="1" containsNumber="1" containsInteger="1" minValue="10" maxValue="36992"/>
    </cacheField>
    <cacheField name="Max CAS (Knots)" numFmtId="0">
      <sharedItems containsMixedTypes="1" containsNumber="1" minValue="150.80000000000001" maxValue="203.8"/>
    </cacheField>
    <cacheField name="Max ROD (fpm)" numFmtId="0">
      <sharedItems containsMixedTypes="1" containsNumber="1" containsInteger="1" minValue="1140" maxValue="1856"/>
    </cacheField>
    <cacheField name="Altitude (Generic)" numFmtId="0">
      <sharedItems containsBlank="1" containsMixedTypes="1" containsNumber="1" containsInteger="1" minValue="24" maxValue="2060"/>
    </cacheField>
    <cacheField name="Band (Red/Amber)" numFmtId="0">
      <sharedItems/>
    </cacheField>
  </cacheFields>
  <extLst>
    <ext xmlns:x14="http://schemas.microsoft.com/office/spreadsheetml/2009/9/main" uri="{725AE2AE-9491-48be-B2B4-4EB974FC3084}">
      <x14:pivotCacheDefinition pivotCacheId="7054952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d v="2025-01-01T00:00:00"/>
    <x v="0"/>
    <s v="DEL-SXR"/>
    <x v="0"/>
    <s v="ANAND MURTHY TIWARI"/>
    <s v="ANUPAM SHARMA."/>
    <x v="0"/>
    <x v="0"/>
    <s v="Comment"/>
    <s v="for 8 sec, Deviation started from: 521 ft(radio), _x000a_Max Deviation 1.54 at Altitude: 386 ft(radio)"/>
    <x v="0"/>
    <x v="0"/>
    <x v="0"/>
    <n v="8"/>
    <n v="1.54"/>
    <s v=""/>
    <s v=""/>
    <s v=""/>
    <s v=""/>
    <s v="Red"/>
  </r>
  <r>
    <d v="2025-01-03T00:00:00"/>
    <x v="0"/>
    <s v="DEL-SXR"/>
    <x v="0"/>
    <s v="NIMISH KUMAR SINGH"/>
    <s v="SUMIT GUPTA"/>
    <x v="1"/>
    <x v="0"/>
    <s v="Reported G"/>
    <s v="At 116 ft(radio), ILS Approach"/>
    <x v="1"/>
    <x v="1"/>
    <x v="1"/>
    <s v=""/>
    <s v=""/>
    <s v=""/>
    <s v=""/>
    <s v=""/>
    <n v="116"/>
    <s v="Red"/>
  </r>
  <r>
    <d v="2025-01-04T00:00:00"/>
    <x v="0"/>
    <s v="DEL-PAT"/>
    <x v="1"/>
    <s v="SUDHIR SHARMA"/>
    <s v="PARAS JYOT SINGH AHLUWALIA"/>
    <x v="2"/>
    <x v="0"/>
    <s v="Comment"/>
    <s v="for 2 sec, At 139 ft(radio),CAS 150.3 kts Max Rod: 930 fpm at 224 ft (radio), ILS Approach"/>
    <x v="2"/>
    <x v="2"/>
    <x v="2"/>
    <n v="2"/>
    <s v=""/>
    <s v=""/>
    <s v=""/>
    <s v=""/>
    <n v="139"/>
    <s v="Red"/>
  </r>
  <r>
    <d v="2025-01-04T00:00:00"/>
    <x v="0"/>
    <s v="DEL-PAT"/>
    <x v="1"/>
    <s v="SUDHIR SHARMA"/>
    <s v="PARAS JYOT SINGH AHLUWALIA"/>
    <x v="3"/>
    <x v="0"/>
    <s v="Comment"/>
    <s v="for 7 secs, Deviation started from: 168 ft(radio), _x000a_Max Deviation 1.84 at Altitude: 139 ft(radio)"/>
    <x v="3"/>
    <x v="3"/>
    <x v="3"/>
    <n v="7"/>
    <n v="1.84"/>
    <s v=""/>
    <s v=""/>
    <s v=""/>
    <s v=""/>
    <s v="Red"/>
  </r>
  <r>
    <d v="2025-01-04T00:00:00"/>
    <x v="0"/>
    <s v="BOM-DEL"/>
    <x v="2"/>
    <s v="SURYA BIR SINGH"/>
    <s v="SANJANA SANJAY AMRITE"/>
    <x v="1"/>
    <x v="0"/>
    <s v="Reported G"/>
    <s v="At 219 ft (radio), ILS Approach"/>
    <x v="4"/>
    <x v="4"/>
    <x v="4"/>
    <s v=""/>
    <s v=""/>
    <s v=""/>
    <s v=""/>
    <s v=""/>
    <n v="219"/>
    <s v="Red"/>
  </r>
  <r>
    <d v="2025-01-06T00:00:00"/>
    <x v="0"/>
    <s v="GOP-BOM"/>
    <x v="3"/>
    <s v="PRATIK KHAIRMODE"/>
    <s v="CHETNA SEHRAWAT"/>
    <x v="4"/>
    <x v="1"/>
    <s v="Comment"/>
    <s v="for 3 sec, Max Bank: L 10 at Altitude: 258 ft(radio),_x000a_ CAS: 156.8 kt, Flap: 5"/>
    <x v="5"/>
    <x v="5"/>
    <x v="5"/>
    <n v="3"/>
    <s v=""/>
    <n v="258"/>
    <s v=""/>
    <s v=""/>
    <s v=""/>
    <s v="Red"/>
  </r>
  <r>
    <d v="2025-01-06T00:00:00"/>
    <x v="0"/>
    <s v="DEL-HYD"/>
    <x v="4"/>
    <s v="ALOK KUMAR GARG"/>
    <s v="RUCHIR MANDAVIA"/>
    <x v="2"/>
    <x v="0"/>
    <s v="Reported R"/>
    <s v="for 1 sec, At 168 ft(radio),CAS 151 kts Max Rod: 840 fpm at 432 ft (radio), ILS Approach"/>
    <x v="6"/>
    <x v="6"/>
    <x v="6"/>
    <n v="1"/>
    <s v=""/>
    <s v=""/>
    <s v=""/>
    <s v=""/>
    <n v="168"/>
    <s v="Red"/>
  </r>
  <r>
    <d v="2025-01-06T00:00:00"/>
    <x v="0"/>
    <s v="DEL-HYD"/>
    <x v="4"/>
    <s v="ALOK KUMAR GARG"/>
    <s v="RUCHIR MANDAVIA"/>
    <x v="3"/>
    <x v="0"/>
    <s v="Reported R"/>
    <s v="for 8 sec, Deviation started from: 242 ft(radio), _x000a_Max Deviation 1.36 at Altitude: 168 ft(radio)"/>
    <x v="7"/>
    <x v="7"/>
    <x v="7"/>
    <n v="8"/>
    <n v="1.36"/>
    <s v=""/>
    <s v=""/>
    <s v=""/>
    <s v=""/>
    <s v="Red"/>
  </r>
  <r>
    <d v="2025-01-06T00:00:00"/>
    <x v="0"/>
    <s v="BOM-AYJ"/>
    <x v="5"/>
    <s v="JATIN CHANDRAKANT MER"/>
    <s v="VISHAL CHHIKARA"/>
    <x v="3"/>
    <x v="0"/>
    <s v="Comment"/>
    <s v="for 10 secs, Deviation started from: 209 ft(radio), _x000a_Max Deviation 1.37 at Altitude: 135 ft(radio), ILS Approach"/>
    <x v="8"/>
    <x v="8"/>
    <x v="8"/>
    <n v="10"/>
    <n v="1.37"/>
    <s v=""/>
    <s v=""/>
    <s v=""/>
    <s v=""/>
    <s v="Red"/>
  </r>
  <r>
    <d v="2025-01-08T00:00:00"/>
    <x v="0"/>
    <s v="PAT-DEL"/>
    <x v="1"/>
    <s v="RASHMI SHARMA"/>
    <s v="ASHISH MISTRY"/>
    <x v="5"/>
    <x v="1"/>
    <s v="Comment"/>
    <s v="CAS: 140 knots, V1: 117, Vr: 120, V2: 129, Flap 5"/>
    <x v="9"/>
    <x v="9"/>
    <x v="9"/>
    <s v=""/>
    <s v=""/>
    <s v=""/>
    <s v=""/>
    <s v=""/>
    <s v=""/>
    <s v="Red"/>
  </r>
  <r>
    <d v="2025-01-09T00:00:00"/>
    <x v="0"/>
    <s v="HYD-DEL"/>
    <x v="2"/>
    <s v="ISHAN SHARMA."/>
    <s v="ALHAD SUDHIR PHADKE"/>
    <x v="6"/>
    <x v="0"/>
    <s v="Comment"/>
    <s v="Flare time (51 feet to touchdown): 14 sec, _x000a_Vref: 148 kt, At 51 ft: CAS 158.8 kt,_x000a_ ENG #1 N1: 54.97 ENG #2 N1: 55.8_x000a_ At Touch Down: CAS 150 kt, ENG #1 N1: 32.06 ENG #2 N1: 31.9"/>
    <x v="10"/>
    <x v="10"/>
    <x v="10"/>
    <s v=""/>
    <s v=""/>
    <s v=""/>
    <s v=""/>
    <s v=""/>
    <n v="51"/>
    <s v="Red"/>
  </r>
  <r>
    <d v="2025-01-09T00:00:00"/>
    <x v="0"/>
    <s v="DEL-GOX"/>
    <x v="6"/>
    <s v="ANIL ARORA"/>
    <s v="ALOK KUMAR GARG"/>
    <x v="7"/>
    <x v="0"/>
    <s v="Comment"/>
    <s v="for 5 sec, Starting from Alititude: 983 ft (radio),_x000a_Max deviation 1.09 at alt 983 ft (radio) for 1 sec"/>
    <x v="11"/>
    <x v="11"/>
    <x v="11"/>
    <n v="5"/>
    <s v=""/>
    <s v=""/>
    <s v=""/>
    <s v=""/>
    <s v=""/>
    <s v="Red"/>
  </r>
  <r>
    <d v="2025-01-09T00:00:00"/>
    <x v="0"/>
    <s v="DEL-GOX"/>
    <x v="6"/>
    <s v="ANIL ARORA"/>
    <s v="ALOK KUMAR GARG"/>
    <x v="3"/>
    <x v="0"/>
    <s v="Comment"/>
    <s v="for 4 sec, Deviation started from: 507 ft(radio),_x000a_Max Deviation 1.11 at Altitude: 401 ft(radio)"/>
    <x v="12"/>
    <x v="12"/>
    <x v="12"/>
    <n v="4"/>
    <n v="1.1100000000000001"/>
    <s v=""/>
    <s v=""/>
    <s v=""/>
    <s v=""/>
    <s v="Red"/>
  </r>
  <r>
    <d v="2025-01-11T00:00:00"/>
    <x v="0"/>
    <s v="CCU-DEL"/>
    <x v="2"/>
    <s v="SAHIL TALWAR"/>
    <s v="UMANG BHATIA"/>
    <x v="2"/>
    <x v="0"/>
    <s v="Comment"/>
    <s v="for 1 sec, At 106 ft(radio),CAS 152.5 kts Max Rod: 1005 fpm at 162 ft (radio), ILS Approach"/>
    <x v="13"/>
    <x v="13"/>
    <x v="13"/>
    <n v="1"/>
    <s v=""/>
    <s v=""/>
    <s v=""/>
    <s v=""/>
    <n v="106"/>
    <s v="Red"/>
  </r>
  <r>
    <d v="2025-01-11T00:00:00"/>
    <x v="0"/>
    <s v="CCU-DEL"/>
    <x v="2"/>
    <s v="SAHIL TALWAR"/>
    <s v="UMANG BHATIA"/>
    <x v="3"/>
    <x v="0"/>
    <s v="Comment"/>
    <s v="for 4 sec, Deviation started from: 143 ft(radio), _x000a_Max Deviation 1.82 at Altitude: 115 ft(radio),  ILS Approach"/>
    <x v="14"/>
    <x v="14"/>
    <x v="14"/>
    <n v="4"/>
    <n v="1.82"/>
    <s v=""/>
    <s v=""/>
    <s v=""/>
    <s v=""/>
    <s v="Red"/>
  </r>
  <r>
    <d v="2025-01-09T00:00:00"/>
    <x v="0"/>
    <s v="DEL-BLR"/>
    <x v="2"/>
    <s v="TEJAS SALUJA"/>
    <s v="KAMAL KUMAR"/>
    <x v="8"/>
    <x v="2"/>
    <s v="Comment"/>
    <s v="for 9 sec, Max Ground Speed: 31.5 kt for 3 sec, _x000a_After Landing"/>
    <x v="15"/>
    <x v="15"/>
    <x v="15"/>
    <n v="9"/>
    <s v=""/>
    <s v=""/>
    <s v=""/>
    <s v=""/>
    <s v=""/>
    <s v="Red"/>
  </r>
  <r>
    <d v="2025-01-12T00:00:00"/>
    <x v="0"/>
    <s v="IXL-DEL"/>
    <x v="2"/>
    <s v="VINAYDEEP BILHATIYA"/>
    <s v="SANCHIT NAGAR"/>
    <x v="9"/>
    <x v="0"/>
    <s v="Comment"/>
    <s v="A/P Engaged at 344 ft(ALT AAL), CAS:162.8 kts, Flap: 1"/>
    <x v="16"/>
    <x v="16"/>
    <x v="16"/>
    <s v=""/>
    <s v=""/>
    <s v=""/>
    <s v=""/>
    <s v=""/>
    <s v=""/>
    <s v="Red"/>
  </r>
  <r>
    <d v="2025-01-12T00:00:00"/>
    <x v="0"/>
    <s v="IXL-DEL"/>
    <x v="2"/>
    <s v="VINAYDEEP BILHATIYA"/>
    <s v="RACHITA MATTA"/>
    <x v="9"/>
    <x v="0"/>
    <s v="Comment"/>
    <s v="A/P Engaged at 388 ft(ALT AAL), CAS:161.5 kts, Flap: 1"/>
    <x v="16"/>
    <x v="17"/>
    <x v="16"/>
    <s v=""/>
    <s v=""/>
    <s v=""/>
    <s v=""/>
    <s v=""/>
    <s v=""/>
    <s v="Red"/>
  </r>
  <r>
    <d v="2025-01-12T00:00:00"/>
    <x v="0"/>
    <s v="DXB-CCJ"/>
    <x v="7"/>
    <s v="CHIRAG PRAKASH VANWARI"/>
    <s v="SANTOSH MAYUR RAYAN PALAKODETY"/>
    <x v="2"/>
    <x v="0"/>
    <s v="Comment"/>
    <s v="for 1 sec, At 123 ft(radio),CAS 152.5 kts Max Rod: 960 fpm at 207 ft (radio), ILS Approach"/>
    <x v="17"/>
    <x v="18"/>
    <x v="17"/>
    <n v="1"/>
    <s v=""/>
    <s v=""/>
    <s v=""/>
    <s v=""/>
    <n v="123"/>
    <s v="Red"/>
  </r>
  <r>
    <d v="2025-01-12T00:00:00"/>
    <x v="0"/>
    <s v="DXB-CCJ"/>
    <x v="7"/>
    <s v="CHIRAG PRAKASH VANWARI"/>
    <s v="SANTOSH MAYUR RAYAN PALAKODETY"/>
    <x v="3"/>
    <x v="0"/>
    <s v="Comment"/>
    <s v="for 3 secs, Deviation started from: 197 ft(radio), _x000a_Max Deviation 1.46 at Altitude: 187 ft(radio),  ILS Approach"/>
    <x v="18"/>
    <x v="19"/>
    <x v="18"/>
    <n v="3"/>
    <n v="1.46"/>
    <s v=""/>
    <s v=""/>
    <s v=""/>
    <s v=""/>
    <s v="Red"/>
  </r>
  <r>
    <d v="2025-01-14T00:00:00"/>
    <x v="0"/>
    <s v="DEL-PNQ"/>
    <x v="8"/>
    <s v="RAJIV MOHAN"/>
    <s v="RAKSHITA MALIK"/>
    <x v="10"/>
    <x v="0"/>
    <s v="Comment"/>
    <s v="CAS: 143 kts, _x000a_Flap 40 Landing, Roll L 0.7 deg"/>
    <x v="19"/>
    <x v="20"/>
    <x v="19"/>
    <s v=""/>
    <s v=""/>
    <s v=""/>
    <s v=""/>
    <s v=""/>
    <s v=""/>
    <s v="Red"/>
  </r>
  <r>
    <d v="2025-01-16T00:00:00"/>
    <x v="0"/>
    <s v="BOM-DEL"/>
    <x v="2"/>
    <s v="AMALENDU"/>
    <s v="SANDEEP PHUTELA"/>
    <x v="1"/>
    <x v="0"/>
    <s v="Reported G"/>
    <s v="At 24 ft (radio), ILS Approach"/>
    <x v="20"/>
    <x v="21"/>
    <x v="4"/>
    <s v=""/>
    <s v=""/>
    <s v=""/>
    <s v=""/>
    <s v=""/>
    <n v="24"/>
    <s v="Red"/>
  </r>
  <r>
    <d v="2025-01-18T00:00:00"/>
    <x v="0"/>
    <s v="DEL-GOX"/>
    <x v="6"/>
    <s v="ASHEESH GUPTA"/>
    <s v="NANCY NAYYAR"/>
    <x v="1"/>
    <x v="0"/>
    <s v="Reported G"/>
    <s v="At 158 ft (radio), NPA"/>
    <x v="21"/>
    <x v="22"/>
    <x v="20"/>
    <s v=""/>
    <s v=""/>
    <s v=""/>
    <s v=""/>
    <s v=""/>
    <n v="158"/>
    <s v="Red"/>
  </r>
  <r>
    <d v="2025-01-17T00:00:00"/>
    <x v="0"/>
    <s v="DEL-SXR"/>
    <x v="0"/>
    <s v="ANAND MURTHY TIWARI"/>
    <s v="SAURABH SHAHI"/>
    <x v="11"/>
    <x v="0"/>
    <s v="Reported R"/>
    <s v="Exceeded maximum landing weight by 310 kg, Max vertical acceleration (landing) : 1.17 g"/>
    <x v="22"/>
    <x v="23"/>
    <x v="21"/>
    <s v=""/>
    <s v=""/>
    <s v=""/>
    <s v=""/>
    <s v=""/>
    <s v=""/>
    <s v="Red"/>
  </r>
  <r>
    <d v="2025-01-23T00:00:00"/>
    <x v="0"/>
    <s v="IXD-BOM"/>
    <x v="9"/>
    <s v="TANMAY GANESH KELUSKAR"/>
    <s v="YUNUSAHMED MUHAMMADFARUK KHARADI"/>
    <x v="12"/>
    <x v="0"/>
    <s v="Comment"/>
    <s v="After Go around,for 4 sec_x000a_Max CAS 183 kts for 1 sec at Altitude: 130 ft(radio),_x000a_Max Vertical Acceleration (Air): 1.34 g"/>
    <x v="23"/>
    <x v="24"/>
    <x v="22"/>
    <n v="4"/>
    <s v=""/>
    <n v="130"/>
    <s v=""/>
    <s v=""/>
    <s v=""/>
    <s v="Red"/>
  </r>
  <r>
    <d v="2025-01-23T00:00:00"/>
    <x v="0"/>
    <s v="IXD-BOM"/>
    <x v="9"/>
    <s v="TANMAY GANESH KELUSKAR"/>
    <s v="YUNUSAHMED MUHAMMADFARUK KHARADI"/>
    <x v="13"/>
    <x v="0"/>
    <s v="Comment"/>
    <s v="On second Approach for 6 sec, starting from Altitude: 276 ft(AAL),_x000a_ Max ROD: 1230 fpm for 1 sec at 216 ft(radio), CAS: 164 kts, Ground speed: 163.5 kts, NPA"/>
    <x v="24"/>
    <x v="25"/>
    <x v="23"/>
    <s v=""/>
    <s v=""/>
    <n v="276"/>
    <s v=""/>
    <n v="1230"/>
    <s v=""/>
    <s v="Red"/>
  </r>
  <r>
    <d v="2025-01-23T00:00:00"/>
    <x v="0"/>
    <s v="IXD-BOM"/>
    <x v="9"/>
    <s v="TANMAY GANESH KELUSKAR"/>
    <s v="YUNUSAHMED MUHAMMADFARUK KHARADI"/>
    <x v="13"/>
    <x v="0"/>
    <s v="Comment"/>
    <s v="On third  Approach for 5 sec, starting from Altitude: 494 ft(AAL),_x000a_ Max ROD: 1320 fpm for 1 sec at 494 ft(radio), CAS: 162.5 kts, Ground speed: 159 kts, NPA"/>
    <x v="24"/>
    <x v="25"/>
    <x v="23"/>
    <n v="5"/>
    <s v=""/>
    <n v="494"/>
    <s v=""/>
    <n v="1320"/>
    <s v=""/>
    <s v="Red"/>
  </r>
  <r>
    <d v="2025-01-23T00:00:00"/>
    <x v="0"/>
    <s v="DEL-CCU"/>
    <x v="10"/>
    <s v="RAJIV MOHAN"/>
    <s v="KARAN MALHOTRA"/>
    <x v="14"/>
    <x v="0"/>
    <s v="Reported G"/>
    <s v="At 110 ft (radio),NPA"/>
    <x v="25"/>
    <x v="26"/>
    <x v="24"/>
    <s v=""/>
    <s v=""/>
    <s v=""/>
    <s v=""/>
    <s v=""/>
    <n v="110"/>
    <s v="Red"/>
  </r>
  <r>
    <d v="2025-01-23T00:00:00"/>
    <x v="0"/>
    <s v="DEL-CCU"/>
    <x v="10"/>
    <s v="RAJIV MOHAN"/>
    <s v="KARAN MALHOTRA"/>
    <x v="15"/>
    <x v="0"/>
    <s v="Reported G"/>
    <s v="At 352 ft (radio),NPA"/>
    <x v="26"/>
    <x v="27"/>
    <x v="25"/>
    <s v=""/>
    <s v=""/>
    <s v=""/>
    <s v=""/>
    <s v=""/>
    <n v="352"/>
    <s v="Red"/>
  </r>
  <r>
    <d v="2025-01-22T00:00:00"/>
    <x v="0"/>
    <s v="BLR-VNS"/>
    <x v="11"/>
    <s v="SNEHA SHEKHAWAT"/>
    <s v="SAMEL MAKHIJA"/>
    <x v="2"/>
    <x v="0"/>
    <s v="Comment"/>
    <s v="for 1 sec, starting from 171 ft(radio),CAS 150 kts Max Rod: 900 fpm, ILS Approach"/>
    <x v="27"/>
    <x v="28"/>
    <x v="26"/>
    <n v="1"/>
    <s v=""/>
    <s v=""/>
    <s v=""/>
    <s v=""/>
    <s v=""/>
    <s v="Red"/>
  </r>
  <r>
    <d v="2025-01-22T00:00:00"/>
    <x v="0"/>
    <s v="BLR-VNS"/>
    <x v="11"/>
    <s v="SNEHA SHEKHAWAT"/>
    <s v="SAMEL MAKHIJA"/>
    <x v="3"/>
    <x v="0"/>
    <s v="Comment"/>
    <s v="for 8 sec, Deviation started from: 252 ft(radio),_x000a_Max Deviation 1.30 at Altitude: 191 ft(radio)"/>
    <x v="28"/>
    <x v="29"/>
    <x v="27"/>
    <n v="8"/>
    <n v="1.3"/>
    <s v=""/>
    <s v=""/>
    <s v=""/>
    <s v=""/>
    <s v="Red"/>
  </r>
  <r>
    <d v="2025-01-20T00:00:00"/>
    <x v="0"/>
    <s v="IDR-PNQ"/>
    <x v="8"/>
    <s v="ADITYA KOLHATKAR"/>
    <s v="SIDDHARTHA MOHAN"/>
    <x v="16"/>
    <x v="0"/>
    <s v="Comment"/>
    <s v="for 10 sec, Starting from Alt: 849 ft(Alt AAL), Min ROD: 15 fpm at Alt: 868 ft(Alt AAL),_x000a_ CAS: 157.8 kt, Ground Speed: 164.5 kt, NPA, A/P Not Engaged, Winds: 91.1 deg 3.50 knots, Capt HDG: 95.6 deg "/>
    <x v="29"/>
    <x v="30"/>
    <x v="28"/>
    <n v="10"/>
    <s v=""/>
    <s v=""/>
    <s v=""/>
    <s v=""/>
    <s v=""/>
    <s v="Red"/>
  </r>
  <r>
    <d v="2025-01-25T00:00:00"/>
    <x v="0"/>
    <s v="DEL-BLR"/>
    <x v="12"/>
    <s v="ALKESH AJAYKUMAR NAIR"/>
    <s v="SUPREET KAUR GILL"/>
    <x v="16"/>
    <x v="0"/>
    <s v="Comment"/>
    <s v="for 5 secs, Starting from Alt: 967 ft(radio), Min ROD: 225 fpm at Alt: 955 ft(radio),_x000a_ CAS: 134.5 kt, Ground Speed: 129.5 kt, ILS Approach, A/P Not Engaged, Winds: 84 deg 15 knots, Capt HDG: 90.7 deg "/>
    <x v="30"/>
    <x v="31"/>
    <x v="29"/>
    <n v="5"/>
    <s v=""/>
    <s v=""/>
    <s v=""/>
    <s v=""/>
    <s v=""/>
    <s v="Red"/>
  </r>
  <r>
    <d v="2025-01-27T00:00:00"/>
    <x v="0"/>
    <s v="IXD-AMD"/>
    <x v="13"/>
    <s v="ALKESH AJAYKUMAR NAIR"/>
    <s v="ABHISHEK PANDURANG PHALKE"/>
    <x v="17"/>
    <x v="0"/>
    <s v="Comment"/>
    <s v="Auto Brake applied for 1 sec, _x000a_Max Brake Press Left: 1630 psi for 1 sec Ground Speed: 125 kt,_x000a_Max Brake Press Right: 1711 psi for 2 sec Ground Speed: 125 kt"/>
    <x v="31"/>
    <x v="32"/>
    <x v="30"/>
    <n v="1"/>
    <s v=""/>
    <s v=""/>
    <s v=""/>
    <s v=""/>
    <s v=""/>
    <s v="Red"/>
  </r>
  <r>
    <d v="2025-01-30T00:00:00"/>
    <x v="0"/>
    <s v="IXJ-SXR"/>
    <x v="0"/>
    <s v="ARVINDER SINGH"/>
    <s v="VIKRAM  SINGH"/>
    <x v="13"/>
    <x v="0"/>
    <s v="Comment"/>
    <s v="for 4 sec, starting from Altitude: 187 ft(Alt AAL),_x000a_ Max ROD: 1200 fpm for 2 sec at 149 ft(Alt AAL), CAS: 159.8 kt, Ground Speed: 170 kt, ILS Approach"/>
    <x v="32"/>
    <x v="33"/>
    <x v="31"/>
    <n v="4"/>
    <s v=""/>
    <n v="187"/>
    <s v=""/>
    <n v="1200"/>
    <s v=""/>
    <s v="Red"/>
  </r>
  <r>
    <d v="2025-01-31T00:00:00"/>
    <x v="0"/>
    <s v="DEL-SXR"/>
    <x v="0"/>
    <s v="SNEH DEEP"/>
    <s v="VIKRAM  SINGH"/>
    <x v="18"/>
    <x v="0"/>
    <s v="DISREGARD"/>
    <s v="DISREGARD"/>
    <x v="33"/>
    <x v="34"/>
    <x v="32"/>
    <s v=""/>
    <s v=""/>
    <s v=""/>
    <s v=""/>
    <s v=""/>
    <s v=""/>
    <s v="Red"/>
  </r>
  <r>
    <d v="2025-01-31T00:00:00"/>
    <x v="0"/>
    <s v="SXR-DEL"/>
    <x v="2"/>
    <s v="SNEH DEEP"/>
    <s v="VIKRAM  SINGH"/>
    <x v="18"/>
    <x v="0"/>
    <s v="DISREGARD"/>
    <s v="DISREGARD"/>
    <x v="33"/>
    <x v="34"/>
    <x v="33"/>
    <s v=""/>
    <s v=""/>
    <s v=""/>
    <s v=""/>
    <s v=""/>
    <s v=""/>
    <s v="Red"/>
  </r>
  <r>
    <d v="2025-01-31T00:00:00"/>
    <x v="0"/>
    <s v="BOM-DEL"/>
    <x v="2"/>
    <s v="HIMANI SAREEN"/>
    <s v="NANCY NAYYAR"/>
    <x v="17"/>
    <x v="0"/>
    <s v="Reported R"/>
    <s v="Auto Brake not  applied, _x000a_Max Brake Press Left: 296 psi for 1 sec Ground Speed: 110.5 kt,_x000a_Max Brake Press Right: 45 psi for 2 sec Ground Speed: 124 kt"/>
    <x v="34"/>
    <x v="35"/>
    <x v="34"/>
    <n v="1"/>
    <s v=""/>
    <s v=""/>
    <s v=""/>
    <s v=""/>
    <s v=""/>
    <s v="Red"/>
  </r>
  <r>
    <d v="2025-01-31T00:00:00"/>
    <x v="0"/>
    <s v="DEL-GOP"/>
    <x v="3"/>
    <s v="PARITOSH KUMAR SINGH"/>
    <s v="NIKHIL NARENDRA KOTHARI"/>
    <x v="3"/>
    <x v="0"/>
    <s v="Comment"/>
    <s v="for 5 secs, Deviation started from: 378 ft(AAL), _x000a_Max Deviation 1.18 at Altitude: 378 ft(radio)"/>
    <x v="35"/>
    <x v="36"/>
    <x v="35"/>
    <n v="5"/>
    <n v="1.18"/>
    <s v=""/>
    <s v=""/>
    <s v=""/>
    <s v=""/>
    <s v="Red"/>
  </r>
  <r>
    <d v="2025-02-01T00:00:00"/>
    <x v="0"/>
    <s v="AMD-PAT"/>
    <x v="1"/>
    <s v="SHAKTI SATYAKUMAR KAUSHAL"/>
    <s v="NITISH SINGH"/>
    <x v="3"/>
    <x v="0"/>
    <s v="Comment"/>
    <s v="for 7 secs, Deviation started from: 252 ft(AAL), _x000a_Max Deviation 1.23 at Altitude: 198 ft(AAL),  ILS Approach"/>
    <x v="36"/>
    <x v="37"/>
    <x v="3"/>
    <n v="7"/>
    <n v="1.23"/>
    <s v=""/>
    <s v=""/>
    <s v=""/>
    <s v=""/>
    <s v="Red"/>
  </r>
  <r>
    <d v="2025-02-02T00:00:00"/>
    <x v="0"/>
    <s v="SXR-DEL"/>
    <x v="2"/>
    <s v="ARVINDER SINGH"/>
    <s v="SAHIL SHARMA"/>
    <x v="3"/>
    <x v="0"/>
    <s v="Comment"/>
    <s v="for 9 secs, Deviation started from: 243 ft(AAL), _x000a_Max Deviation 1.32 at Altitude: 197 ft(AAL),  ILS Approach"/>
    <x v="37"/>
    <x v="38"/>
    <x v="14"/>
    <n v="9"/>
    <n v="1.32"/>
    <s v=""/>
    <s v=""/>
    <s v=""/>
    <s v=""/>
    <s v="Red"/>
  </r>
  <r>
    <d v="2025-02-03T00:00:00"/>
    <x v="0"/>
    <s v="BOM-IXD"/>
    <x v="14"/>
    <s v="SHAKTI SATYAKUMAR KAUSHAL"/>
    <s v="SHABNAM GAFOOR KHAN SARGUROH"/>
    <x v="1"/>
    <x v="0"/>
    <s v="Reported G"/>
    <s v="At 1259 ft (radio), NPA"/>
    <x v="38"/>
    <x v="39"/>
    <x v="36"/>
    <s v=""/>
    <s v=""/>
    <s v=""/>
    <s v=""/>
    <s v=""/>
    <n v="1259"/>
    <s v="Red"/>
  </r>
  <r>
    <d v="2025-02-03T00:00:00"/>
    <x v="0"/>
    <s v="BOM-IXD"/>
    <x v="14"/>
    <s v="SHAKTI SATYAKUMAR KAUSHAL"/>
    <s v="SHABNAM GAFOOR KHAN SARGUROH"/>
    <x v="19"/>
    <x v="0"/>
    <s v="Reported R"/>
    <s v="Before Go around for 5 secs, during Descent,_x000a_Max CAS 200.5 kts for 1 sec at Altitude: 1712 ft(radio),_x000a_Max Vertical Acceleration (Air): 1.29 g"/>
    <x v="39"/>
    <x v="40"/>
    <x v="37"/>
    <n v="5"/>
    <s v=""/>
    <n v="1712"/>
    <s v=""/>
    <s v=""/>
    <s v=""/>
    <s v="Red"/>
  </r>
  <r>
    <d v="2025-02-04T00:00:00"/>
    <x v="0"/>
    <s v="DEL-BOM"/>
    <x v="9"/>
    <s v="AMAN  JAIN"/>
    <s v="ANIL ARORA"/>
    <x v="3"/>
    <x v="0"/>
    <s v="Comment"/>
    <s v="for 5 secs, Deviation started from: 339 ft(AAL), _x000a_Max Deviation 1.14 at Altitude: 331 ft(AAL)"/>
    <x v="40"/>
    <x v="41"/>
    <x v="38"/>
    <n v="5"/>
    <n v="1.1399999999999999"/>
    <s v=""/>
    <s v=""/>
    <s v=""/>
    <s v=""/>
    <s v="Red"/>
  </r>
  <r>
    <d v="2025-02-05T00:00:00"/>
    <x v="0"/>
    <s v="BOM-IXD"/>
    <x v="14"/>
    <s v="KUNAL HITEN PARIKH"/>
    <s v="SHRIKANT ANANT PATIL"/>
    <x v="1"/>
    <x v="0"/>
    <s v="Reported G"/>
    <s v="At 71 ft (radio), NPA"/>
    <x v="41"/>
    <x v="42"/>
    <x v="36"/>
    <s v=""/>
    <s v=""/>
    <s v=""/>
    <s v=""/>
    <s v=""/>
    <n v="71"/>
    <s v="Red"/>
  </r>
  <r>
    <d v="2025-02-06T00:00:00"/>
    <x v="0"/>
    <s v="DEL-BLR"/>
    <x v="12"/>
    <s v="PARITOSH KUMAR SINGH"/>
    <s v="SAURABH SHAHI"/>
    <x v="3"/>
    <x v="0"/>
    <s v="Comment"/>
    <s v="for 13 sec, Deviation started from: 944 ft(ALT AAL), _x000a_Max Deviation 1.18 at Altitude: 851 ft(ALT AAL"/>
    <x v="35"/>
    <x v="43"/>
    <x v="39"/>
    <n v="13"/>
    <n v="1.18"/>
    <s v=""/>
    <s v=""/>
    <s v=""/>
    <s v=""/>
    <s v="Red"/>
  </r>
  <r>
    <d v="2025-02-07T00:00:00"/>
    <x v="0"/>
    <s v="DBR-DEL"/>
    <x v="2"/>
    <s v="HARICHARAN SATYANARAYAN BANSAL"/>
    <s v="ANUPAM SHARMA."/>
    <x v="20"/>
    <x v="0"/>
    <s v="Comment"/>
    <s v=" for 7 sec, Vref: 128, Max CAS: 154.8 kts for 1 sec at Altitude: 396 ft (radio), A/P not Engaged , Winds: 291.8 deg 14 knots, Capt HDG: 271.8 deg, ILS Approach"/>
    <x v="42"/>
    <x v="44"/>
    <x v="40"/>
    <n v="7"/>
    <s v=""/>
    <n v="396"/>
    <n v="154.80000000000001"/>
    <s v=""/>
    <s v=""/>
    <s v="Red"/>
  </r>
  <r>
    <d v="2025-02-12T00:00:00"/>
    <x v="0"/>
    <s v="BOM-DEL"/>
    <x v="2"/>
    <s v="MOHIT KUMAR"/>
    <s v="RAJIB CHOWDHURY"/>
    <x v="17"/>
    <x v="0"/>
    <s v="Comment"/>
    <s v="Auto Brake applied for 14 sec, _x000a_Max Brake Press Left: 851 psi for 1 sec Ground Speed: 90.5 kt,_x000a_Max Brake Press Right: 922 psi for 1 sec Ground Speed: 78.5 kt"/>
    <x v="43"/>
    <x v="45"/>
    <x v="34"/>
    <n v="14"/>
    <s v=""/>
    <s v=""/>
    <s v=""/>
    <s v=""/>
    <s v=""/>
    <s v="Red"/>
  </r>
  <r>
    <d v="2025-02-13T00:00:00"/>
    <x v="0"/>
    <s v="DEL-SXR"/>
    <x v="0"/>
    <s v="VINAY KUMAR SINGH"/>
    <s v="ANKUR BALANA"/>
    <x v="13"/>
    <x v="0"/>
    <s v="Comment"/>
    <s v="for 4 sec, starting from Altitude: 434ft (AAL),_x000a_ Max ROD: 1140 fpm for 3 sec at 415 ft(AAL), CAS: 157 kts, _x000a_Ground speed: 167 kts, ILS Approach"/>
    <x v="44"/>
    <x v="46"/>
    <x v="31"/>
    <n v="4"/>
    <s v=""/>
    <s v=""/>
    <s v=""/>
    <n v="1140"/>
    <s v=""/>
    <s v="Red"/>
  </r>
  <r>
    <d v="2025-02-13T00:00:00"/>
    <x v="0"/>
    <s v="BLR-PAT"/>
    <x v="1"/>
    <s v="SNEHA SHEKHAWAT"/>
    <s v="ASHLESH BAPURAO SHINDE"/>
    <x v="3"/>
    <x v="0"/>
    <s v="Comment"/>
    <s v="for 4 sec, Deviation started from: 225 ft(AAL),_x000a_Max Deviation 1.21 at Altitude: 195 ft(AAL"/>
    <x v="28"/>
    <x v="47"/>
    <x v="3"/>
    <n v="4"/>
    <n v="1.21"/>
    <s v=""/>
    <s v=""/>
    <s v=""/>
    <s v=""/>
    <s v="Red"/>
  </r>
  <r>
    <d v="2025-02-15T00:00:00"/>
    <x v="0"/>
    <s v="IXB-DEL"/>
    <x v="2"/>
    <s v="AMAN  JAIN"/>
    <s v="AKASH SANDHU"/>
    <x v="6"/>
    <x v="0"/>
    <s v="Reported R"/>
    <s v="Flare time (54 feet to touchdown): 14 sec, _x000a_Vref: 146 kt, At 54 ft: CAS 157.5 kt,_x000a_ ENG #1 N1: 58.88 ENG #2 N1: 58.8_x000a_ At Touch Down: CAS 145.5 kt, ENG #1 N1: 32.63 ENG #2 N1: 32.9"/>
    <x v="45"/>
    <x v="48"/>
    <x v="10"/>
    <s v=""/>
    <s v=""/>
    <s v=""/>
    <s v=""/>
    <s v=""/>
    <n v="54"/>
    <s v="Red"/>
  </r>
  <r>
    <d v="2025-02-15T00:00:00"/>
    <x v="0"/>
    <s v="BKK-CCU"/>
    <x v="10"/>
    <s v="OLYM ROY"/>
    <s v="SUKANTA SARKAR"/>
    <x v="21"/>
    <x v="0"/>
    <s v="Comment"/>
    <s v="For 2 secs, at Altitude: 7164 ft (AAL), During Descent"/>
    <x v="46"/>
    <x v="49"/>
    <x v="41"/>
    <s v=""/>
    <s v=""/>
    <n v="7164"/>
    <s v=""/>
    <s v=""/>
    <s v=""/>
    <s v="Red"/>
  </r>
  <r>
    <d v="2025-02-15T00:00:00"/>
    <x v="0"/>
    <s v="BKK-CCU"/>
    <x v="10"/>
    <s v="OLYM ROY"/>
    <s v="SUKANTA SARKAR"/>
    <x v="22"/>
    <x v="0"/>
    <s v="Comment"/>
    <s v=" for 4 secs, at Altitude: 7109 ft(AAL), During Descent"/>
    <x v="47"/>
    <x v="50"/>
    <x v="42"/>
    <n v="4"/>
    <s v=""/>
    <n v="7109"/>
    <s v=""/>
    <s v=""/>
    <s v=""/>
    <s v="Red"/>
  </r>
  <r>
    <d v="2025-02-16T00:00:00"/>
    <x v="0"/>
    <s v="DEL-IXL"/>
    <x v="15"/>
    <s v="VINAYDEEP BILHATIYA"/>
    <s v="PRITAM HINDUJA"/>
    <x v="1"/>
    <x v="0"/>
    <s v="Reported G"/>
    <s v="At 384 ft (radio), NPA"/>
    <x v="48"/>
    <x v="51"/>
    <x v="43"/>
    <s v=""/>
    <s v=""/>
    <s v=""/>
    <s v=""/>
    <s v=""/>
    <n v="384"/>
    <s v="Red"/>
  </r>
  <r>
    <d v="2025-02-17T00:00:00"/>
    <x v="0"/>
    <s v="DEL-IXL"/>
    <x v="15"/>
    <s v="ASHISH JAYASWAL"/>
    <s v="SAHIL SHARMA"/>
    <x v="23"/>
    <x v="0"/>
    <s v="Comment"/>
    <s v=" for 4 sec, Vref: 136, Max CAS: 158.3 kts for 2 sec at Altitude: 10660 ft (baro)\ 239 ft(radio),  Winds: 252.4 deg 3 knots, Capt HDG: 68.2 deg, Visual Approach"/>
    <x v="49"/>
    <x v="52"/>
    <x v="44"/>
    <n v="4"/>
    <s v=""/>
    <n v="10660"/>
    <n v="158.30000000000001"/>
    <s v=""/>
    <s v=""/>
    <s v="Red"/>
  </r>
  <r>
    <d v="2025-02-17T00:00:00"/>
    <x v="0"/>
    <s v="DEL-IXL"/>
    <x v="15"/>
    <s v="ASHISH JAYASWAL"/>
    <s v="SAHIL SHARMA"/>
    <x v="24"/>
    <x v="0"/>
    <s v="Comment"/>
    <s v="for 5 sec, Vref: 136 kts, Max CAS: 156.3 kts_x000a_ at Altitude: 11 ft(radio) for 1 sec, Visual Approach, Flap 15"/>
    <x v="50"/>
    <x v="53"/>
    <x v="45"/>
    <n v="5"/>
    <s v=""/>
    <n v="11"/>
    <s v=""/>
    <s v=""/>
    <s v=""/>
    <s v="Red"/>
  </r>
  <r>
    <d v="2025-02-19T00:00:00"/>
    <x v="0"/>
    <s v="MAA-IXD"/>
    <x v="14"/>
    <s v="MANDEEP KAUR."/>
    <s v="MANISH SINGH"/>
    <x v="1"/>
    <x v="0"/>
    <s v="Reported G"/>
    <s v="At 896 ft (radio), NPA"/>
    <x v="51"/>
    <x v="54"/>
    <x v="36"/>
    <s v=""/>
    <s v=""/>
    <s v=""/>
    <s v=""/>
    <s v=""/>
    <n v="896"/>
    <s v="Red"/>
  </r>
  <r>
    <d v="2025-02-20T00:00:00"/>
    <x v="0"/>
    <s v="DEL-IXB"/>
    <x v="2"/>
    <s v="AMALENDU"/>
    <s v="RITURAJ JAISWAL"/>
    <x v="4"/>
    <x v="1"/>
    <s v="Comment"/>
    <s v="for 2 sec, Max Bank: L 11.8 at Altitude: 226 ft(radio),_x000a_ CAS: 170.8 kt, Flap: 5"/>
    <x v="52"/>
    <x v="55"/>
    <x v="46"/>
    <n v="2"/>
    <s v=""/>
    <n v="226"/>
    <s v=""/>
    <s v=""/>
    <s v=""/>
    <s v="Red"/>
  </r>
  <r>
    <d v="2025-02-22T00:00:00"/>
    <x v="0"/>
    <s v="DEL-IXB"/>
    <x v="16"/>
    <s v="RAVINDER CHAWLA"/>
    <s v="AKASH SANDHU"/>
    <x v="1"/>
    <x v="0"/>
    <s v="Reported G"/>
    <s v="At 453 ft (radio), NPA"/>
    <x v="53"/>
    <x v="56"/>
    <x v="47"/>
    <s v=""/>
    <s v=""/>
    <s v=""/>
    <s v=""/>
    <s v=""/>
    <n v="453"/>
    <s v="Red"/>
  </r>
  <r>
    <d v="2025-02-23T00:00:00"/>
    <x v="0"/>
    <s v="IXD-AMD"/>
    <x v="13"/>
    <s v="ADITYA KOLATHKAR"/>
    <s v="NITISH SINGH"/>
    <x v="16"/>
    <x v="0"/>
    <s v="Comment"/>
    <s v="for 4 sec, Starting from Alt: 241 ft(AAL), Min ROD: 255 fpm at Alt: 235 ft(AAL),_x000a_ CAS: 140.8 kt, Ground Speed: 143.5 kt, NPA, A/P not  Engaged, Winds: 110 deg 5.5 knots, Capt HDG: 47.1 deg"/>
    <x v="54"/>
    <x v="57"/>
    <x v="48"/>
    <n v="4"/>
    <s v=""/>
    <s v=""/>
    <s v=""/>
    <s v=""/>
    <s v=""/>
    <s v="Red"/>
  </r>
  <r>
    <d v="2025-02-22T00:00:00"/>
    <x v="0"/>
    <s v="DXB-CCJ"/>
    <x v="17"/>
    <s v="TANMAY GANESH KELUSKAR"/>
    <s v="ADNAN ABDUL JABBAR"/>
    <x v="25"/>
    <x v="1"/>
    <s v="Reported R"/>
    <s v="for 4 sec, starting from Altitude: 1627 ft (radio),_x000a_ Max. Bank: L 38.5 at Altitude: 1658 ft(radio), CAS: 173.5 kts, Flaps 5"/>
    <x v="55"/>
    <x v="58"/>
    <x v="49"/>
    <n v="4"/>
    <s v=""/>
    <n v="1627"/>
    <s v=""/>
    <s v=""/>
    <s v=""/>
    <s v="Red"/>
  </r>
  <r>
    <d v="2025-02-25T00:00:00"/>
    <x v="0"/>
    <s v="DXB-AMD"/>
    <x v="13"/>
    <s v="MAHENDRA KUVARJI CHHEDA"/>
    <s v="NITISH SINGH"/>
    <x v="16"/>
    <x v="0"/>
    <s v="Comment"/>
    <s v="for 7 sec, Starting from Alt: 265 ft(AAL), Min ROD: 195 fpm at Alt: 254 ft(AAL),_x000a_ CAS: 141.8 kt, Ground Speed: 135 kt, NPA, A/P not  Engaged, Winds: 054.1 deg 10 knots, Capt HDG: 046.4 deg"/>
    <x v="56"/>
    <x v="57"/>
    <x v="48"/>
    <n v="7"/>
    <s v=""/>
    <s v=""/>
    <s v=""/>
    <s v=""/>
    <s v=""/>
    <s v="Red"/>
  </r>
  <r>
    <d v="2025-02-28T00:00:00"/>
    <x v="0"/>
    <s v="BOM-PAT"/>
    <x v="1"/>
    <s v="CHARAN SINGH CHOUDHARY"/>
    <s v="NAMITA SHRIPAL CHAURASIA"/>
    <x v="14"/>
    <x v="0"/>
    <s v="Reported G"/>
    <s v="At 79 ft (radio), NPA"/>
    <x v="57"/>
    <x v="59"/>
    <x v="50"/>
    <s v=""/>
    <s v=""/>
    <s v=""/>
    <s v=""/>
    <s v=""/>
    <n v="79"/>
    <s v="Red"/>
  </r>
  <r>
    <d v="2025-02-28T00:00:00"/>
    <x v="0"/>
    <s v="BOM-PAT"/>
    <x v="1"/>
    <s v="CHARAN SINGH CHOUDHARY"/>
    <s v="NAMITA SHRIPAL CHAURASIA"/>
    <x v="15"/>
    <x v="0"/>
    <s v="Reported G"/>
    <s v="At 69 ft (radio), NPA"/>
    <x v="58"/>
    <x v="60"/>
    <x v="51"/>
    <s v=""/>
    <s v=""/>
    <s v=""/>
    <s v=""/>
    <s v=""/>
    <n v="69"/>
    <s v="Red"/>
  </r>
  <r>
    <d v="2025-02-28T00:00:00"/>
    <x v="0"/>
    <s v="BOM-PAT"/>
    <x v="1"/>
    <s v="CHARAN SINGH CHOUDHARY"/>
    <s v="NAMITA SHRIPAL CHAURASIA"/>
    <x v="13"/>
    <x v="0"/>
    <s v="Reported R"/>
    <s v="for 7 sec, starting from Altitude: 269 ft(AAL),_x000a_ Max ROD: 1170 fpm for 2 sec at 250 ft(AAL), CAS: 159.8 kt, Ground Speed: 162 kt, NPA"/>
    <x v="59"/>
    <x v="61"/>
    <x v="52"/>
    <n v="7"/>
    <s v=""/>
    <n v="269"/>
    <s v=""/>
    <n v="1170"/>
    <s v=""/>
    <s v="Red"/>
  </r>
  <r>
    <d v="2025-02-28T00:00:00"/>
    <x v="0"/>
    <s v="BKK-CCU"/>
    <x v="10"/>
    <s v="SHAKTI SATYAKUMAR KAUSHAL"/>
    <s v="NIKHIL CHAWLA"/>
    <x v="2"/>
    <x v="0"/>
    <s v="Reported R"/>
    <s v="for 4 sec, At 154 ft(AAL),CAS 138.8 kts Max Rod: 1065 fpm at 246ft (AAL), ILS Approach"/>
    <x v="60"/>
    <x v="62"/>
    <x v="53"/>
    <n v="4"/>
    <s v=""/>
    <s v=""/>
    <s v=""/>
    <s v=""/>
    <n v="154"/>
    <s v="Red"/>
  </r>
  <r>
    <d v="2025-02-28T00:00:00"/>
    <x v="0"/>
    <s v="BKK-CCU"/>
    <x v="10"/>
    <s v="SHAKTI SATYAKUMAR KAUSHAL"/>
    <s v="NIKHIL CHAWLA"/>
    <x v="3"/>
    <x v="0"/>
    <s v="Reported R"/>
    <s v="for 11 sec, Deviation started from: 211 ft(AAL), _x000a_Max Deviation 2.09 at Altitude: 126 ft(AAL)"/>
    <x v="36"/>
    <x v="63"/>
    <x v="54"/>
    <n v="11"/>
    <n v="2.09"/>
    <s v=""/>
    <s v=""/>
    <s v=""/>
    <s v=""/>
    <s v="Red"/>
  </r>
  <r>
    <d v="2025-02-27T00:00:00"/>
    <x v="0"/>
    <s v="AMD-DEL"/>
    <x v="2"/>
    <s v="FARZAND SINGH"/>
    <s v="BHUSHAN SHAILESH SHAH"/>
    <x v="23"/>
    <x v="0"/>
    <s v="Comment"/>
    <s v=" for 4 sec, Vref: 139 Kts, Max CAS: 160.8 kts for 1 sec at Altitude: 143 ft (radio), A/P Not Engaged, Winds: 219.4 deg 1.5 knots, Capt HDG: 103.7 deg, ILS Approach"/>
    <x v="61"/>
    <x v="64"/>
    <x v="55"/>
    <n v="4"/>
    <s v=""/>
    <n v="143"/>
    <n v="160.80000000000001"/>
    <s v=""/>
    <s v=""/>
    <s v="Red"/>
  </r>
  <r>
    <d v="2025-03-01T00:00:00"/>
    <x v="0"/>
    <s v="SXR-IXJ"/>
    <x v="18"/>
    <s v="SAGAR SHEGOANKAR"/>
    <s v="ALHAD SUDHIR PHADKE"/>
    <x v="1"/>
    <x v="0"/>
    <s v="Reported G"/>
    <s v="At 1336 ft (radio), ILS Approach"/>
    <x v="62"/>
    <x v="65"/>
    <x v="56"/>
    <s v=""/>
    <s v=""/>
    <s v=""/>
    <s v=""/>
    <s v=""/>
    <n v="1336"/>
    <s v="Red"/>
  </r>
  <r>
    <d v="2025-03-01T00:00:00"/>
    <x v="0"/>
    <s v="DEL-DBR"/>
    <x v="19"/>
    <s v="KUNAL HITEN PARIKH"/>
    <s v="ANTARA PURI"/>
    <x v="1"/>
    <x v="0"/>
    <s v="Reported G"/>
    <s v="At 40 ft (radio), NPA"/>
    <x v="41"/>
    <x v="66"/>
    <x v="57"/>
    <s v=""/>
    <s v=""/>
    <s v=""/>
    <s v=""/>
    <s v=""/>
    <n v="40"/>
    <s v="Red"/>
  </r>
  <r>
    <d v="2025-03-01T00:00:00"/>
    <x v="0"/>
    <s v="DEL-IXB"/>
    <x v="16"/>
    <s v="DRON THAKUR"/>
    <s v="AYAAN AHMED SIDDIQUI"/>
    <x v="26"/>
    <x v="0"/>
    <s v="Comment"/>
    <s v="for 1 sec,during descent, Max CAS: 203.8 kts for 1 sec at Altitude: 2935 ft(radio),_x000a_Max Vertical Acceleration (Air): 1.15 g"/>
    <x v="63"/>
    <x v="67"/>
    <x v="58"/>
    <n v="1"/>
    <s v=""/>
    <n v="2935"/>
    <n v="203.8"/>
    <s v=""/>
    <s v=""/>
    <s v="Red"/>
  </r>
  <r>
    <d v="2025-03-01T00:00:00"/>
    <x v="0"/>
    <s v="CCU-IXZ"/>
    <x v="20"/>
    <s v="RAJIV MOHAN"/>
    <s v="RONNY SINGH"/>
    <x v="10"/>
    <x v="0"/>
    <s v="Comment"/>
    <s v="CAS: 152.8 kts, _x000a_Flap 30 Landing, Roll R 0.5 deg"/>
    <x v="19"/>
    <x v="68"/>
    <x v="59"/>
    <s v=""/>
    <s v=""/>
    <s v=""/>
    <s v=""/>
    <s v=""/>
    <s v=""/>
    <s v="Red"/>
  </r>
  <r>
    <d v="2025-03-01T00:00:00"/>
    <x v="0"/>
    <s v="DEL-MAA"/>
    <x v="21"/>
    <s v="MANAS CHATTERJEE"/>
    <s v="SANJANA SANJAY AMRITE"/>
    <x v="27"/>
    <x v="0"/>
    <s v="Reported R"/>
    <s v="for 14 secs, During Cruise, Max MMO 0.839_x000a_ at Altitude: 36992 ft(Baro) for 1 sec,_x000a_ Pitch: U 2.8, Roll: L 0.7,  CAS: 273.8 kt, Max Vertical Acc (Air): 1.15 G"/>
    <x v="64"/>
    <x v="69"/>
    <x v="60"/>
    <n v="14"/>
    <s v=""/>
    <n v="36992"/>
    <s v=""/>
    <s v=""/>
    <s v=""/>
    <s v="Red"/>
  </r>
  <r>
    <d v="2025-03-01T00:00:00"/>
    <x v="0"/>
    <s v="BOM-DBR"/>
    <x v="19"/>
    <s v="CHARAN SINGH CHOUDHARY"/>
    <s v="UNNATI PRAMOD KAMLAKAR"/>
    <x v="13"/>
    <x v="0"/>
    <s v="Comment"/>
    <s v="for 6 secs, starting from Altitude: 270 ft(AAL),_x000a_ Max ROD: 1230 fpm for 1 sec at 231 ft(AAL), CAS: 158 kt, Ground Speed: 163 kt, NPA"/>
    <x v="59"/>
    <x v="70"/>
    <x v="61"/>
    <n v="6"/>
    <s v=""/>
    <n v="270"/>
    <s v=""/>
    <n v="1230"/>
    <s v=""/>
    <s v="Red"/>
  </r>
  <r>
    <d v="2025-03-02T00:00:00"/>
    <x v="0"/>
    <s v="BLR-DBR"/>
    <x v="19"/>
    <s v="ALKESH AJAYKUMAR NAIR"/>
    <s v="AKSHEY SOOD"/>
    <x v="1"/>
    <x v="0"/>
    <s v="Reported G "/>
    <s v="At 294 ft (radio), NPA"/>
    <x v="65"/>
    <x v="71"/>
    <x v="57"/>
    <s v=""/>
    <s v=""/>
    <s v=""/>
    <s v=""/>
    <s v=""/>
    <n v="294"/>
    <s v="Red"/>
  </r>
  <r>
    <d v="2025-03-02T00:00:00"/>
    <x v="0"/>
    <s v="DBR-DEL"/>
    <x v="2"/>
    <s v="PAVANDEEP SINGH BHASIN"/>
    <s v="MOHIT KUMAR"/>
    <x v="1"/>
    <x v="0"/>
    <s v="Reported G "/>
    <s v="At 41 ft (radio), NPA"/>
    <x v="66"/>
    <x v="72"/>
    <x v="4"/>
    <s v=""/>
    <s v=""/>
    <s v=""/>
    <s v=""/>
    <s v=""/>
    <n v="41"/>
    <s v="Red"/>
  </r>
  <r>
    <d v="2025-03-02T00:00:00"/>
    <x v="0"/>
    <s v="DEL-DBR"/>
    <x v="19"/>
    <s v="PAVANDEEP SINGH BHASIN"/>
    <s v="MOHIT KUMAR"/>
    <x v="16"/>
    <x v="0"/>
    <s v="Comment"/>
    <s v="for 7 sec, Starting from Alt: 385 ft(Alt AAL), Min ROD: 210 fpm at Alt: 380 ft(Alt AAL),_x000a_ CAS: 140.3 kt, Ground Speed: 123 kt,Visual app, A/P Not Engaged, Winds: 280.5 deg 19.50 knots, Capt HDG: 277.7 deg "/>
    <x v="67"/>
    <x v="73"/>
    <x v="62"/>
    <n v="7"/>
    <s v=""/>
    <s v=""/>
    <s v=""/>
    <s v=""/>
    <s v=""/>
    <s v="Red"/>
  </r>
  <r>
    <d v="2025-03-03T00:00:00"/>
    <x v="0"/>
    <s v="MAA-DEL"/>
    <x v="2"/>
    <s v="MOHIT BHARDWAJ"/>
    <s v="ABHIMANYU JAMWAL."/>
    <x v="1"/>
    <x v="0"/>
    <s v="Reported G"/>
    <s v="At 1327 ft (radio), NPA"/>
    <x v="68"/>
    <x v="74"/>
    <x v="4"/>
    <s v=""/>
    <s v=""/>
    <s v=""/>
    <s v=""/>
    <s v=""/>
    <n v="1327"/>
    <s v="Red"/>
  </r>
  <r>
    <d v="2025-03-03T00:00:00"/>
    <x v="0"/>
    <s v="BOM-PAT"/>
    <x v="1"/>
    <s v="SAURAV CHAKRABARTY"/>
    <s v="NAMITA SHRIPAL CHAURASIA"/>
    <x v="3"/>
    <x v="0"/>
    <s v="Comment"/>
    <s v="for 10 secs, Deviation started from: 218 ft(AAL),_x000a_Max Deviation 1.96 at Altitude: 166 ft(AAL)"/>
    <x v="69"/>
    <x v="75"/>
    <x v="3"/>
    <n v="10"/>
    <n v="1.96"/>
    <s v=""/>
    <s v=""/>
    <s v=""/>
    <s v=""/>
    <s v="Red"/>
  </r>
  <r>
    <d v="2025-03-03T00:00:00"/>
    <x v="0"/>
    <s v="AYJ-AMD"/>
    <x v="13"/>
    <s v="NITIN DEV SAVLODIA"/>
    <s v="SHREYASKUMAR ANILKUMAR CHAUDHARI"/>
    <x v="23"/>
    <x v="0"/>
    <s v="Comment"/>
    <s v=" for 4 secs, Vref: 135, Max CAS: 156.5 kts for 1 sec at Altitude: 184 ft (AAL), A/P Not Engaged, Winds: 323.8 deg 7.5 knots, Capt HDG: 227.8 deg, ILS Approach"/>
    <x v="70"/>
    <x v="76"/>
    <x v="63"/>
    <n v="4"/>
    <s v=""/>
    <n v="184"/>
    <n v="156.5"/>
    <s v=""/>
    <s v=""/>
    <s v="Red"/>
  </r>
  <r>
    <d v="2025-03-03T00:00:00"/>
    <x v="0"/>
    <s v="DEL-SXR"/>
    <x v="0"/>
    <s v="HARICHARAN SATYANARAYAN BANSAL"/>
    <s v="ROHIT PANDEY"/>
    <x v="13"/>
    <x v="0"/>
    <s v="Comment"/>
    <s v="for 4 sec, starting from Altitude: 384 ft(AAL),_x000a_ Max ROD: 1185 fpm for 1 sec at 365 ft(AAL), CAS : 160.5 kts , Ground speed :185 kts,ILS Approach"/>
    <x v="71"/>
    <x v="77"/>
    <x v="31"/>
    <n v="4"/>
    <s v=""/>
    <n v="384"/>
    <s v=""/>
    <n v="1185"/>
    <s v=""/>
    <s v="Red"/>
  </r>
  <r>
    <d v="2025-03-05T00:00:00"/>
    <x v="0"/>
    <s v="MAA-IXZ"/>
    <x v="20"/>
    <s v="MOHIT BHARDWAJ"/>
    <s v="DIVYANG BAJPAI"/>
    <x v="10"/>
    <x v="0"/>
    <s v="Comment"/>
    <s v="CAS: 157.5 kts, _x000a_Flap 30 Landing, Roll L 1.6 deg"/>
    <x v="72"/>
    <x v="78"/>
    <x v="59"/>
    <s v=""/>
    <s v=""/>
    <s v=""/>
    <s v=""/>
    <s v=""/>
    <s v=""/>
    <s v="Red"/>
  </r>
  <r>
    <d v="2025-03-05T00:00:00"/>
    <x v="0"/>
    <s v="GOP-DEL"/>
    <x v="2"/>
    <s v="DIVYANSHU CHATURVEDI"/>
    <s v="ASHISH JAYASWAL"/>
    <x v="23"/>
    <x v="0"/>
    <s v="Comment"/>
    <s v=" for 5 sec, Vref: 138, Max CAS: 161.5 kts for 1 sec at Altitude: 407 ft (AAL), A/P Not Engaged, Winds: 301 deg 17 knots, Capt HDG: 272.8 deg, ILS Approach"/>
    <x v="73"/>
    <x v="79"/>
    <x v="55"/>
    <n v="5"/>
    <s v=""/>
    <n v="407"/>
    <n v="161.5"/>
    <s v=""/>
    <s v=""/>
    <s v="Red"/>
  </r>
  <r>
    <d v="2025-03-06T00:00:00"/>
    <x v="0"/>
    <s v="BOM-GOP"/>
    <x v="3"/>
    <s v="RUPALI RAJESH PHATAK"/>
    <s v="BHAKTI KIRAN BAGARIA"/>
    <x v="3"/>
    <x v="0"/>
    <s v="Comment"/>
    <s v="for 5 sec, Deviation started from: 333 ft(AAL), _x000a_Max Deviation 1.23 at Altitude: 304 ft(AAL)"/>
    <x v="74"/>
    <x v="80"/>
    <x v="35"/>
    <n v="5"/>
    <n v="1.23"/>
    <s v=""/>
    <s v=""/>
    <s v=""/>
    <s v=""/>
    <s v="Red"/>
  </r>
  <r>
    <d v="2025-03-08T00:00:00"/>
    <x v="0"/>
    <s v="IXZ-CCU"/>
    <x v="20"/>
    <s v="SAHIL TALWAR"/>
    <s v="SANDEEP PHUTELA"/>
    <x v="28"/>
    <x v="1"/>
    <s v="Comment"/>
    <s v="Flap 5 takeoff, CAS: 150 kt, Vr: 143 kt"/>
    <x v="75"/>
    <x v="81"/>
    <x v="64"/>
    <s v=""/>
    <s v=""/>
    <s v=""/>
    <s v=""/>
    <s v=""/>
    <s v=""/>
    <s v="Red"/>
  </r>
  <r>
    <d v="2025-03-09T00:00:00"/>
    <x v="0"/>
    <s v="DXB-AMD"/>
    <x v="13"/>
    <s v="BIHAAG BRAHMBHATT"/>
    <s v="NAMIT DANG"/>
    <x v="6"/>
    <x v="0"/>
    <s v="Comment"/>
    <s v="Flare time (53 feet to touchdown): 16 sec, _x000a_Vref: 138 kt, At 53 ft: CAS 149.5 kt,_x000a_ ENG #1 N1: 56.38 ENG #2 N1: 56.6_x000a_ At Touch Down: CAS 135.5 kt, ENG #1 N1: 32.25 ENG #2 N1: 32.8"/>
    <x v="76"/>
    <x v="82"/>
    <x v="65"/>
    <s v=""/>
    <s v=""/>
    <s v=""/>
    <s v=""/>
    <s v=""/>
    <n v="53"/>
    <s v="Red"/>
  </r>
  <r>
    <d v="2025-03-09T00:00:00"/>
    <x v="0"/>
    <s v="DEL-PNQ"/>
    <x v="8"/>
    <s v="NILESH KUMAR NONHARE"/>
    <s v="AKASH SANDHU"/>
    <x v="29"/>
    <x v="0"/>
    <s v="Reported R"/>
    <s v="for 13 secs, during descent, Max EGT: 966 °C for 1 sec at 904 ft(radio)"/>
    <x v="77"/>
    <x v="83"/>
    <x v="66"/>
    <n v="13"/>
    <s v=""/>
    <s v=""/>
    <s v=""/>
    <s v=""/>
    <s v=""/>
    <s v="Red"/>
  </r>
  <r>
    <d v="2025-03-13T00:00:00"/>
    <x v="0"/>
    <s v="BOM-PAT"/>
    <x v="1"/>
    <s v="DARSHAN DALAL"/>
    <s v="RUCHIR MANDAVIA"/>
    <x v="2"/>
    <x v="0"/>
    <s v="Comment"/>
    <s v="for 1 sec, At 169 ft(radio),CAS 140 kts Max Rod: 945 fpm at 332ft (radio), ILS Approach"/>
    <x v="78"/>
    <x v="6"/>
    <x v="2"/>
    <n v="1"/>
    <s v=""/>
    <s v=""/>
    <s v=""/>
    <s v=""/>
    <n v="169"/>
    <s v="Red"/>
  </r>
  <r>
    <d v="2025-03-13T00:00:00"/>
    <x v="0"/>
    <s v="BOM-PAT"/>
    <x v="1"/>
    <s v="DARSHAN DALAL"/>
    <s v="RUCHIR MANDAVIA"/>
    <x v="3"/>
    <x v="0"/>
    <s v="Comment"/>
    <s v="for 5 sec, Deviation started from: 239 ft(radio), _x000a_Max Deviation 1.50 at Altitude: 176 ft(radio)"/>
    <x v="79"/>
    <x v="7"/>
    <x v="3"/>
    <n v="5"/>
    <n v="1.5"/>
    <s v=""/>
    <s v=""/>
    <s v=""/>
    <s v=""/>
    <s v="Red"/>
  </r>
  <r>
    <d v="2025-03-14T00:00:00"/>
    <x v="0"/>
    <s v="DBR-BLR"/>
    <x v="12"/>
    <s v="SNEHA SHEKHAWAT"/>
    <s v="SAMEL MAKHIJA"/>
    <x v="17"/>
    <x v="0"/>
    <s v="Comment"/>
    <s v="Auto Brake applied for 5 sec, _x000a_Max Brake Press Left: 1793 psi for 1 sec Ground Speed: 85.5 kt,_x000a_Max Brake Press Right: 2389 psi for 1 sec Ground Speed: 101.5 kt"/>
    <x v="80"/>
    <x v="84"/>
    <x v="67"/>
    <n v="5"/>
    <s v=""/>
    <s v=""/>
    <s v=""/>
    <s v=""/>
    <s v=""/>
    <s v="Red"/>
  </r>
  <r>
    <d v="2025-03-14T00:00:00"/>
    <x v="0"/>
    <s v="SXR-DEL"/>
    <x v="2"/>
    <s v="HIMANI SAREEN"/>
    <s v="RAKSHITA MALIK"/>
    <x v="1"/>
    <x v="0"/>
    <s v="Reported G"/>
    <s v="At 152 ft (radio),ILS Approach "/>
    <x v="81"/>
    <x v="85"/>
    <x v="4"/>
    <s v=""/>
    <s v=""/>
    <s v=""/>
    <s v=""/>
    <s v=""/>
    <n v="152"/>
    <s v="Red"/>
  </r>
  <r>
    <d v="2025-03-14T00:00:00"/>
    <x v="0"/>
    <s v="SXR-DEL"/>
    <x v="2"/>
    <s v="HIMANI SAREEN"/>
    <s v="RAKSHITA MALIK"/>
    <x v="2"/>
    <x v="0"/>
    <s v="Comment"/>
    <s v="for 2 sec, starting from 209 ft(radio),CAS 141.5 kts Max Rod: 1125fpm, ILS Approach"/>
    <x v="82"/>
    <x v="86"/>
    <x v="13"/>
    <n v="2"/>
    <s v=""/>
    <s v=""/>
    <s v=""/>
    <s v=""/>
    <s v=""/>
    <s v="Red"/>
  </r>
  <r>
    <d v="2025-03-14T00:00:00"/>
    <x v="0"/>
    <s v="SXR-DEL"/>
    <x v="2"/>
    <s v="HIMANI SAREEN"/>
    <s v="RAKSHITA MALIK"/>
    <x v="30"/>
    <x v="0"/>
    <s v="Comment"/>
    <s v="for 8 sec, Deviation started from: 269 ft(radio), _x000a_Max Deviation 2.37at Altitude: 176 ft(radio)"/>
    <x v="83"/>
    <x v="87"/>
    <x v="68"/>
    <n v="8"/>
    <s v=""/>
    <s v=""/>
    <s v=""/>
    <s v=""/>
    <s v=""/>
    <s v="Red"/>
  </r>
  <r>
    <d v="2025-03-14T00:00:00"/>
    <x v="0"/>
    <s v="SXR-DEL"/>
    <x v="2"/>
    <s v="HIMANI SAREEN"/>
    <s v="RAKSHITA MALIK"/>
    <x v="31"/>
    <x v="0"/>
    <s v="Reported R"/>
    <s v="for 5 sec, Before Go around, CAS 132 kts"/>
    <x v="84"/>
    <x v="88"/>
    <x v="69"/>
    <n v="5"/>
    <s v=""/>
    <s v=""/>
    <s v=""/>
    <s v=""/>
    <s v=""/>
    <s v="Red"/>
  </r>
  <r>
    <d v="2025-03-14T00:00:00"/>
    <x v="0"/>
    <s v="BLR-DEL"/>
    <x v="2"/>
    <s v="MOHIT KUMAR"/>
    <s v="NAPINDER JEET KAUR"/>
    <x v="2"/>
    <x v="0"/>
    <s v="Reported R"/>
    <s v="Intermmitent for 2 sec, starting from 72 ft(radio),CAS 133.3 kts Max Rod: 960fpm, ILS Approach"/>
    <x v="85"/>
    <x v="89"/>
    <x v="13"/>
    <n v="2"/>
    <s v=""/>
    <s v=""/>
    <s v=""/>
    <s v=""/>
    <s v=""/>
    <s v="Red"/>
  </r>
  <r>
    <d v="2025-03-14T00:00:00"/>
    <x v="0"/>
    <s v="BLR-DEL"/>
    <x v="2"/>
    <s v="MOHIT KUMAR"/>
    <s v="NAPINDER JEET KAUR"/>
    <x v="16"/>
    <x v="0"/>
    <s v="Reported R"/>
    <s v="for 6 sec, Starting from Alt: 503 ft(radio), Min ROD: 180 fpm at Alt: 508 ft(radio),_x000a_ CAS: 133.5 kt, Ground Speed: 140 kt, ILS Approach, A/P  Engaged(CMD A), Winds: 271.8 deg 1 knots, Capt HDG: 103 deg"/>
    <x v="86"/>
    <x v="90"/>
    <x v="70"/>
    <n v="6"/>
    <s v=""/>
    <s v=""/>
    <s v=""/>
    <s v=""/>
    <s v=""/>
    <s v="Red"/>
  </r>
  <r>
    <d v="2025-03-17T00:00:00"/>
    <x v="0"/>
    <s v="DEL-IXL"/>
    <x v="15"/>
    <s v="DHRUV MITAL"/>
    <s v="PRITAM HINDUJA"/>
    <x v="32"/>
    <x v="0"/>
    <s v="Comment"/>
    <s v="Flap 15 landing, Pitch U 6.0, Roll L 2.5"/>
    <x v="87"/>
    <x v="91"/>
    <x v="71"/>
    <s v=""/>
    <s v=""/>
    <s v=""/>
    <s v=""/>
    <s v=""/>
    <s v=""/>
    <s v="Red"/>
  </r>
  <r>
    <d v="2025-03-17T00:00:00"/>
    <x v="0"/>
    <s v="BLR-DEL"/>
    <x v="2"/>
    <s v="ARIHANT JAIN"/>
    <s v="RITURAJ JAISWAL"/>
    <x v="33"/>
    <x v="0"/>
    <s v="Comment"/>
    <s v="for 4 secs, After Take off, Max EGT: 952 °C for 2 sec at 863 ft(radio)"/>
    <x v="88"/>
    <x v="92"/>
    <x v="72"/>
    <n v="4"/>
    <s v=""/>
    <s v=""/>
    <s v=""/>
    <s v=""/>
    <s v=""/>
    <s v="Red"/>
  </r>
  <r>
    <d v="2025-03-13T00:00:00"/>
    <x v="0"/>
    <s v="PAT-BLR"/>
    <x v="1"/>
    <s v="NITIN DEV SAVLODIA"/>
    <s v="ANIRUDH KRISHNA"/>
    <x v="8"/>
    <x v="2"/>
    <s v="Comment"/>
    <s v="for 5 sec, Max Ground Speed: 31.5 kt for 1 sec, _x000a_After Landing"/>
    <x v="89"/>
    <x v="93"/>
    <x v="73"/>
    <n v="5"/>
    <s v=""/>
    <s v=""/>
    <s v=""/>
    <s v=""/>
    <s v=""/>
    <s v="Red"/>
  </r>
  <r>
    <d v="2025-03-17T00:00:00"/>
    <x v="0"/>
    <s v="PNQ-DXB"/>
    <x v="17"/>
    <s v="MOHIT BHARDWAJ"/>
    <s v="KARAN MALHOTRA"/>
    <x v="0"/>
    <x v="0"/>
    <s v="Comment"/>
    <s v="for 8 secs, Deviation started from: 253 ft(Baro), _x000a_Max Deviation 1.68 at Altitude: 158 ft(Baro)"/>
    <x v="90"/>
    <x v="94"/>
    <x v="74"/>
    <n v="8"/>
    <n v="1.68"/>
    <s v=""/>
    <s v=""/>
    <s v=""/>
    <s v=""/>
    <s v="Red"/>
  </r>
  <r>
    <d v="2025-03-18T00:00:00"/>
    <x v="0"/>
    <s v="DBR-BLR"/>
    <x v="12"/>
    <s v="TEJAS SALUJA"/>
    <s v="AKSHEY SOOD"/>
    <x v="3"/>
    <x v="0"/>
    <s v="Comment"/>
    <s v="for 8 secs, Deviation started from: 3246 ft(Baro), _x000a_Max Deviation 1.21 at Altitude: 3187 ft(Baro)"/>
    <x v="91"/>
    <x v="95"/>
    <x v="39"/>
    <n v="8"/>
    <n v="1.21"/>
    <s v=""/>
    <s v=""/>
    <s v=""/>
    <s v=""/>
    <s v="Red"/>
  </r>
  <r>
    <d v="2025-03-22T00:00:00"/>
    <x v="0"/>
    <s v="PAT-AMD"/>
    <x v="1"/>
    <s v="MAHENDRA KUVARJI CHHEDA"/>
    <s v="SHREYASKUMAR ANILKUMAR CHAUDHARI"/>
    <x v="5"/>
    <x v="1"/>
    <s v="Comment"/>
    <s v="CAS: 139.5 knots, V1: 125, Vr: 128, V2: 134, Flap 5"/>
    <x v="92"/>
    <x v="96"/>
    <x v="9"/>
    <s v=""/>
    <s v=""/>
    <s v=""/>
    <s v=""/>
    <s v=""/>
    <s v=""/>
    <s v="Red"/>
  </r>
  <r>
    <d v="2025-03-21T00:00:00"/>
    <x v="0"/>
    <s v="DEL-IXL"/>
    <x v="15"/>
    <s v="SUDHIR SHARMA"/>
    <s v="SIDDHARTHA MOHAN"/>
    <x v="23"/>
    <x v="0"/>
    <s v="Comment"/>
    <s v=" for 6 secs, Vref: 137, Max CAS: 159 kts for 1 sec at Altitude: 10631 ft (baro), A/P Not Engaged, Winds: 80.2 deg 15 knots, Capt HDG: 69.3 deg, NPA"/>
    <x v="93"/>
    <x v="97"/>
    <x v="44"/>
    <n v="6"/>
    <s v=""/>
    <n v="10631"/>
    <n v="159"/>
    <s v=""/>
    <s v=""/>
    <s v="Red"/>
  </r>
  <r>
    <d v="2025-03-21T00:00:00"/>
    <x v="0"/>
    <s v="CCU-BLR"/>
    <x v="10"/>
    <s v="OLYM ROY"/>
    <s v="ASHLESH BAPURAO SHINDE"/>
    <x v="8"/>
    <x v="2"/>
    <s v="Comment"/>
    <s v="for 7 sec, Max Ground Speed: 32 kt for 4 sec, _x000a_After Landing"/>
    <x v="94"/>
    <x v="98"/>
    <x v="75"/>
    <n v="7"/>
    <s v=""/>
    <s v=""/>
    <s v=""/>
    <s v=""/>
    <s v=""/>
    <s v="Red"/>
  </r>
  <r>
    <d v="2025-03-25T00:00:00"/>
    <x v="0"/>
    <s v="IXB-DEL"/>
    <x v="2"/>
    <s v="NILESH KUMAR NONHARE"/>
    <s v="AMALENDU"/>
    <x v="6"/>
    <x v="0"/>
    <s v="Comment"/>
    <s v="Flare time (45 feet to touchdown): 13 secs, _x000a_Vref: 144 kt, At 45 ft: CAS 157 kt,_x000a_ ENG #1 N1: 59.13 ENG #2 N1: 59.3_x000a_ At Touch Down: CAS 145.8 kt, ENG #1 N1: 32.22 ENG #2 N1: 32.1"/>
    <x v="95"/>
    <x v="99"/>
    <x v="10"/>
    <s v=""/>
    <s v=""/>
    <s v=""/>
    <s v=""/>
    <s v=""/>
    <n v="45"/>
    <s v="Red"/>
  </r>
  <r>
    <d v="2025-03-26T00:00:00"/>
    <x v="0"/>
    <s v="DEL-SXR"/>
    <x v="0"/>
    <s v="RAHUL SHARMA"/>
    <s v="SUPREET KAUR GILL"/>
    <x v="13"/>
    <x v="0"/>
    <s v="Comment"/>
    <s v="for 4 sec, starting from Altitude: 572 ft(radio),_x000a_ Max ROD: 1215 fpm for 1 sec at 556 ft(radio), CAS: 154.8 kts, _x000a_Ground speed: 170.5 kts, ILS Approach"/>
    <x v="96"/>
    <x v="100"/>
    <x v="31"/>
    <n v="4"/>
    <s v=""/>
    <n v="572"/>
    <s v=""/>
    <n v="1215"/>
    <s v=""/>
    <s v="Red"/>
  </r>
  <r>
    <d v="2025-03-26T00:00:00"/>
    <x v="0"/>
    <s v="AYJ-AMD"/>
    <x v="13"/>
    <s v="JONAS DSOUZA"/>
    <s v="ANIRUDH KRISHNA"/>
    <x v="1"/>
    <x v="0"/>
    <s v="Reported G"/>
    <s v="At 162 (radio) ft, NPA"/>
    <x v="97"/>
    <x v="101"/>
    <x v="76"/>
    <s v=""/>
    <s v=""/>
    <s v=""/>
    <s v=""/>
    <s v=""/>
    <s v=""/>
    <s v="Red"/>
  </r>
  <r>
    <d v="2025-03-27T00:00:00"/>
    <x v="0"/>
    <s v="DBR-BLR"/>
    <x v="12"/>
    <s v="SNEHA SHEKHAWAT"/>
    <s v="VINAY FAUZDAR"/>
    <x v="17"/>
    <x v="0"/>
    <s v="Comment"/>
    <s v="Max Brake Press Left: 2385 psi for 1 sec Ground Speed: 100 kt,_x000a_Max Brake Press Right: 2162 psi for 1 sec Ground Speed: 91 kt"/>
    <x v="80"/>
    <x v="102"/>
    <x v="67"/>
    <n v="1"/>
    <s v=""/>
    <s v=""/>
    <s v=""/>
    <s v=""/>
    <s v=""/>
    <s v="Red"/>
  </r>
  <r>
    <d v="2025-03-28T00:00:00"/>
    <x v="0"/>
    <s v="VNS-HYD"/>
    <x v="4"/>
    <s v="ANEESH ATOORI"/>
    <s v="SAMSUNDAR ANUP BALLA"/>
    <x v="13"/>
    <x v="0"/>
    <s v="Comment"/>
    <s v="for 8 sec, starting from Altitude: 2478 ft(baro),_x000a_ Max ROD: 1305 fpm for 1 sec at 2478 ft(baro), CAS: 151 kt, Ground Speed: 166.5 kt, NPA"/>
    <x v="98"/>
    <x v="103"/>
    <x v="77"/>
    <n v="8"/>
    <s v=""/>
    <n v="2478"/>
    <s v=""/>
    <n v="1305"/>
    <s v=""/>
    <s v="Red"/>
  </r>
  <r>
    <d v="2025-03-28T00:00:00"/>
    <x v="0"/>
    <s v="DEL-SXR"/>
    <x v="0"/>
    <s v="SANKET MAHESH MARULKAR"/>
    <s v="VIKRAM  SINGH"/>
    <x v="13"/>
    <x v="0"/>
    <s v="Reported R"/>
    <s v="for 4 sec, starting from Altitude: 5856 ft(baro),_x000a_ Max ROD: 1248 fpm for 1 sec at 5824 ft(baro), CAS: 153.8 kt, Ground Speed: 190 kt, ILS Approach "/>
    <x v="99"/>
    <x v="33"/>
    <x v="31"/>
    <n v="4"/>
    <s v=""/>
    <n v="5856"/>
    <s v=""/>
    <n v="1248"/>
    <s v=""/>
    <s v="Red"/>
  </r>
  <r>
    <d v="2025-03-27T00:00:00"/>
    <x v="0"/>
    <s v="DBR-DEL"/>
    <x v="19"/>
    <s v="NILESH KUMAR NONHARE"/>
    <s v="DIVYANSHU CHATURVEDI"/>
    <x v="8"/>
    <x v="2"/>
    <s v="Comment"/>
    <s v="for 4 sec, Max Ground Speed: 31 kt for 4 sec, _x000a_After Landing"/>
    <x v="100"/>
    <x v="104"/>
    <x v="78"/>
    <n v="4"/>
    <s v=""/>
    <s v=""/>
    <s v=""/>
    <s v=""/>
    <s v=""/>
    <s v="Red"/>
  </r>
  <r>
    <d v="2025-03-31T00:00:00"/>
    <x v="0"/>
    <s v="DED-BLR"/>
    <x v="12"/>
    <s v="MANAS CHATTERJEE"/>
    <s v="AKSHEY SOOD"/>
    <x v="34"/>
    <x v="0"/>
    <s v="Comment"/>
    <s v="For 4 sec, Vref: 123 , Max CAS: 152.3 kts for 1 sec at Altitude: 1193 ft (radio)/(986 ft (AAL), A/P CMD A Engaged, _x000a_Winds: 129.4 deg 5 knots, Capt HDG: 271.8 deg, ILS Approach, Flap 30"/>
    <x v="101"/>
    <x v="105"/>
    <x v="79"/>
    <s v=""/>
    <s v=""/>
    <n v="1193"/>
    <n v="152.30000000000001"/>
    <s v=""/>
    <s v=""/>
    <s v="Red"/>
  </r>
  <r>
    <d v="2025-04-03T00:00:00"/>
    <x v="1"/>
    <s v="DEL-IXL"/>
    <x v="15"/>
    <s v="DHRUV MITAL"/>
    <s v="SUDHEER MAINGI"/>
    <x v="24"/>
    <x v="0"/>
    <s v="Comment"/>
    <s v="for 5 sec, Vref: 135 kts, Max CAS: 157.8 kts_x000a_ at Altitude: 18 ft(radio) for 1 sec, Visual Approach"/>
    <x v="102"/>
    <x v="106"/>
    <x v="45"/>
    <n v="5"/>
    <s v=""/>
    <n v="18"/>
    <s v=""/>
    <s v=""/>
    <s v=""/>
    <s v="Red"/>
  </r>
  <r>
    <d v="2025-04-02T00:00:00"/>
    <x v="1"/>
    <s v="DEL-CCU"/>
    <x v="10"/>
    <s v="SANKET MAHESH MARULKAR"/>
    <s v="ROHIT YENU TARI"/>
    <x v="29"/>
    <x v="0"/>
    <s v="Comment"/>
    <s v="for 5 secs, during Takeoff, Max EGT: 952 °C for 1 sec at 782 ft(radio)"/>
    <x v="103"/>
    <x v="107"/>
    <x v="80"/>
    <n v="5"/>
    <s v=""/>
    <s v=""/>
    <s v=""/>
    <s v=""/>
    <s v=""/>
    <s v="Red"/>
  </r>
  <r>
    <d v="2025-04-02T00:00:00"/>
    <x v="1"/>
    <s v="DXB-COK"/>
    <x v="22"/>
    <s v="SAURABH SARKAR"/>
    <s v="SAMSUNDAR ANUP BALLA"/>
    <x v="1"/>
    <x v="0"/>
    <s v="Reported G"/>
    <s v="At 1426 ft (radio), ILS Approach"/>
    <x v="104"/>
    <x v="108"/>
    <x v="81"/>
    <s v=""/>
    <s v=""/>
    <s v=""/>
    <s v=""/>
    <s v=""/>
    <n v="1426"/>
    <s v="Red"/>
  </r>
  <r>
    <d v="2025-04-04T00:00:00"/>
    <x v="1"/>
    <s v="DEL-IXL"/>
    <x v="15"/>
    <s v="VARUN GUPTA"/>
    <s v="MOHIT KUMAR"/>
    <x v="1"/>
    <x v="0"/>
    <s v="Reported G"/>
    <s v="At 126 ft (radio), NPA"/>
    <x v="105"/>
    <x v="72"/>
    <x v="43"/>
    <s v=""/>
    <s v=""/>
    <s v=""/>
    <s v=""/>
    <s v=""/>
    <n v="126"/>
    <s v="Red"/>
  </r>
  <r>
    <d v="2025-04-05T00:00:00"/>
    <x v="1"/>
    <s v="PNQ-DXB"/>
    <x v="17"/>
    <s v="ANAND MURTHY TIWARI"/>
    <s v="SUMIT GUPTA"/>
    <x v="0"/>
    <x v="0"/>
    <s v="Comment"/>
    <s v="for 6 sec, Deviation started from: 230 ft(radio),_x000a_Max Deviation 2.0 at Altitude: 146 ft(radio)"/>
    <x v="0"/>
    <x v="109"/>
    <x v="74"/>
    <n v="6"/>
    <n v="2"/>
    <s v=""/>
    <s v=""/>
    <s v=""/>
    <s v=""/>
    <s v="Red"/>
  </r>
  <r>
    <d v="2025-04-07T00:00:00"/>
    <x v="1"/>
    <s v="DBR-DEL"/>
    <x v="2"/>
    <s v="AMALENDU"/>
    <s v="HARSHIT SINGH"/>
    <x v="29"/>
    <x v="0"/>
    <s v="Reported R"/>
    <s v="for 13 secs, After  Takeoff, Max EGT: 963 °C for 1 sec at 269 ft(radio)"/>
    <x v="106"/>
    <x v="110"/>
    <x v="82"/>
    <n v="13"/>
    <s v=""/>
    <s v=""/>
    <s v=""/>
    <s v=""/>
    <s v=""/>
    <s v="Red"/>
  </r>
  <r>
    <d v="2025-04-07T00:00:00"/>
    <x v="1"/>
    <s v="PNQ-DEL"/>
    <x v="2"/>
    <s v="ANUBHAV KUMAR"/>
    <s v="AADIL MOHAMMADSHAFI GANDHI"/>
    <x v="29"/>
    <x v="0"/>
    <s v="Comment"/>
    <s v="for 35 secs,  After Takeoff, Max EGT: 973 °C for 1 sec at 514 ft(radio)"/>
    <x v="107"/>
    <x v="111"/>
    <x v="82"/>
    <n v="35"/>
    <s v=""/>
    <s v=""/>
    <s v=""/>
    <s v=""/>
    <s v=""/>
    <s v="Red"/>
  </r>
  <r>
    <d v="2025-04-07T00:00:00"/>
    <x v="1"/>
    <s v="VNS-PNQ"/>
    <x v="8"/>
    <s v="ABHIJEET ARUN BHOSALE"/>
    <s v="AMEYA DINESH PUJARI"/>
    <x v="29"/>
    <x v="0"/>
    <s v="Comment"/>
    <s v="for 16 secs,  After Takeoff, Max EGT: 961 °C for 1 sec at 366 ft(radio)"/>
    <x v="108"/>
    <x v="112"/>
    <x v="66"/>
    <n v="16"/>
    <s v=""/>
    <s v=""/>
    <s v=""/>
    <s v=""/>
    <s v=""/>
    <s v="Red"/>
  </r>
  <r>
    <d v="2025-04-07T00:00:00"/>
    <x v="1"/>
    <s v="PNQ-VNS"/>
    <x v="11"/>
    <s v="ABHIJEET ARUN BHOSALE"/>
    <s v="AMEYA DINESH PUJARI"/>
    <x v="29"/>
    <x v="0"/>
    <s v="Comment"/>
    <s v="for 27 secs,  After Takeoff, Max EGT: 971 °C for 1 sec at 745 ft(radio)"/>
    <x v="108"/>
    <x v="112"/>
    <x v="83"/>
    <n v="27"/>
    <s v=""/>
    <s v=""/>
    <s v=""/>
    <s v=""/>
    <s v=""/>
    <s v="Red"/>
  </r>
  <r>
    <d v="2025-04-08T00:00:00"/>
    <x v="1"/>
    <s v="DEL-PNQ"/>
    <x v="8"/>
    <s v="MANAS CHATTERJEE"/>
    <s v="SUNIL PREMCHAND NARWANI"/>
    <x v="13"/>
    <x v="0"/>
    <s v="Comment"/>
    <s v="for 8 sec, starting from Altitude: 2421 ft(baro),_x000a_ Max ROD: 1170 fpm for 1 sec at 479 ft(radio), CAS: 160.3 kt, Ground Speed: 174.5 kt, ILS Approach"/>
    <x v="109"/>
    <x v="113"/>
    <x v="84"/>
    <n v="8"/>
    <s v=""/>
    <n v="2421"/>
    <s v=""/>
    <n v="1170"/>
    <s v=""/>
    <s v="Red"/>
  </r>
  <r>
    <d v="2025-04-08T00:00:00"/>
    <x v="1"/>
    <s v="BOM-SXR"/>
    <x v="0"/>
    <s v="SOUMYA SIVA GHOSH"/>
    <s v="RUCHIR MANDAVIA"/>
    <x v="13"/>
    <x v="0"/>
    <s v="Comment"/>
    <s v="for 6 sec, starting from Altitude: 5776 ft(baro),_x000a_ Max ROD: 1185 fpm for 1 sec at 488 ft(radio), CAS: 155 kt, Ground Speed: 170 kt, ILS Approach"/>
    <x v="110"/>
    <x v="114"/>
    <x v="31"/>
    <n v="6"/>
    <s v=""/>
    <n v="5776"/>
    <s v=""/>
    <n v="1185"/>
    <s v=""/>
    <s v="Red"/>
  </r>
  <r>
    <d v="2025-04-08T00:00:00"/>
    <x v="1"/>
    <s v="PNQ-DEL"/>
    <x v="2"/>
    <s v="PUNEET SHARMA"/>
    <s v="SANJANA SANJAY AMRITE"/>
    <x v="13"/>
    <x v="0"/>
    <s v="Reported R"/>
    <s v="for 5 sec, starting from Altitude: 1125 ft(baro),_x000a_ Max ROD: 1350 fpm for 1 sec at 446 ft(radio), CAS: 144.8 kt, Ground Speed: 142.5 kt, NPA"/>
    <x v="111"/>
    <x v="115"/>
    <x v="85"/>
    <n v="5"/>
    <s v=""/>
    <n v="1125"/>
    <s v=""/>
    <n v="1350"/>
    <s v=""/>
    <s v="Red"/>
  </r>
  <r>
    <d v="2025-04-08T00:00:00"/>
    <x v="1"/>
    <s v="PNQ-DEL"/>
    <x v="2"/>
    <s v="PUNEET SHARMA"/>
    <s v="SANJANA SANJAY AMRITE"/>
    <x v="1"/>
    <x v="0"/>
    <s v="Reported G"/>
    <s v="At 302 ft (radio), NPA"/>
    <x v="112"/>
    <x v="4"/>
    <x v="4"/>
    <s v=""/>
    <s v=""/>
    <s v=""/>
    <s v=""/>
    <s v=""/>
    <n v="302"/>
    <s v="Red"/>
  </r>
  <r>
    <d v="2025-04-08T00:00:00"/>
    <x v="1"/>
    <s v="DEL-SXR"/>
    <x v="0"/>
    <s v="VINAY KUMAR SINGH"/>
    <s v="MANISH SINGH"/>
    <x v="1"/>
    <x v="0"/>
    <s v="Reported G"/>
    <s v="At 961 ft (radio), ILS Approach"/>
    <x v="113"/>
    <x v="54"/>
    <x v="1"/>
    <s v=""/>
    <s v=""/>
    <s v=""/>
    <s v=""/>
    <s v=""/>
    <n v="961"/>
    <s v="Red"/>
  </r>
  <r>
    <d v="2025-04-09T00:00:00"/>
    <x v="1"/>
    <s v="IXB-DEL"/>
    <x v="2"/>
    <s v="NEENA SINGH"/>
    <s v="VIRENDRA MALHOTRA"/>
    <x v="6"/>
    <x v="0"/>
    <s v="Comment"/>
    <s v="Flare time (46 feet to touchdown): 10 sec, _x000a_Vref: 144 kt, At 46 ft: CAS 152.8 kt,_x000a_ ENG #1 N1: 53.1 ENG #2 N1: 52.4_x000a_ At Touch Down: CAS 146.8 kt, ENG #1 N1: 32.0, ENG #2 N1: 30.8"/>
    <x v="114"/>
    <x v="116"/>
    <x v="10"/>
    <s v=""/>
    <s v=""/>
    <s v=""/>
    <s v=""/>
    <s v=""/>
    <n v="46"/>
    <s v="Red"/>
  </r>
  <r>
    <d v="2025-04-09T00:00:00"/>
    <x v="1"/>
    <s v="DEL-PNQ"/>
    <x v="8"/>
    <s v="RASHMI SHARMA"/>
    <s v="NITISH SINGH"/>
    <x v="35"/>
    <x v="0"/>
    <s v="Comment"/>
    <s v="Intermittent for 8 sec, Starting from 218 ft (radio), Winds: 038 deg 09 knots, Capt HDG: 276.7 deg, Flap15"/>
    <x v="115"/>
    <x v="117"/>
    <x v="86"/>
    <n v="8"/>
    <s v=""/>
    <s v=""/>
    <s v=""/>
    <s v=""/>
    <s v=""/>
    <s v="Red"/>
  </r>
  <r>
    <d v="2025-04-11T00:00:00"/>
    <x v="1"/>
    <s v="DED-DEL"/>
    <x v="2"/>
    <s v="HIMANI SAREEN"/>
    <s v="SUKIRAT SINGH"/>
    <x v="36"/>
    <x v="0"/>
    <s v="Reported R"/>
    <s v="During Descent, at Altitude: 6734 ft (baro), AOA #Right: U 10.0 , AOA #Left: U 13.7 , Pitch: D 3.9 , Roll: R 3.7 , CAS: 171.8 kt,_x000a_ Max Vertical Acceleration (Air): 1.59 G, Flaps Up"/>
    <x v="116"/>
    <x v="118"/>
    <x v="87"/>
    <s v=""/>
    <s v=""/>
    <n v="6734"/>
    <s v=""/>
    <s v=""/>
    <s v=""/>
    <s v="Red"/>
  </r>
  <r>
    <d v="2025-04-13T00:00:00"/>
    <x v="1"/>
    <s v="IXB-BLR"/>
    <x v="16"/>
    <s v="SURABHI"/>
    <s v="AVIN SHARMA"/>
    <x v="5"/>
    <x v="1"/>
    <s v="Comment"/>
    <s v="CAS: 154.5 knots, V1: 142, Vr: 146, V2: 149, Flap 5"/>
    <x v="117"/>
    <x v="119"/>
    <x v="88"/>
    <s v=""/>
    <s v=""/>
    <s v=""/>
    <s v=""/>
    <s v=""/>
    <s v=""/>
    <s v="Red"/>
  </r>
  <r>
    <d v="2025-04-16T00:00:00"/>
    <x v="1"/>
    <s v="DEL-SXR"/>
    <x v="0"/>
    <s v="MANDEEP KAUR."/>
    <s v="KARAN MALHOTRA"/>
    <x v="37"/>
    <x v="0"/>
    <s v="Comment"/>
    <s v="During Climbing, passing  Altitude: 24325ft (baro), Pitch: U 3.9, Roll: R 5.8, CAS: 249.5 kt, Flaps UP, Max Vertical Acceleration (Air) 1.48 G, Turbulence."/>
    <x v="118"/>
    <x v="120"/>
    <x v="89"/>
    <s v=""/>
    <s v=""/>
    <s v=""/>
    <s v=""/>
    <s v=""/>
    <s v=""/>
    <s v="Red"/>
  </r>
  <r>
    <d v="2025-04-17T00:00:00"/>
    <x v="1"/>
    <s v="DEL-SXR"/>
    <x v="0"/>
    <s v="ANAND MURTHY TIWARI"/>
    <s v="ANUPAM SHARMA."/>
    <x v="13"/>
    <x v="0"/>
    <s v="Comment"/>
    <s v="for 4 sec, starting from Altitude: 5594 ft(baro),_x000a_ Max ROD: 1200 fpm for 2 sec at 5556 ft(baro), CAS: 155.3 kt, Ground Speed: 174 kt, ILS Approach"/>
    <x v="119"/>
    <x v="121"/>
    <x v="31"/>
    <n v="4"/>
    <s v=""/>
    <n v="5594"/>
    <s v=""/>
    <n v="1200"/>
    <s v=""/>
    <s v="Red"/>
  </r>
  <r>
    <d v="2025-04-18T00:00:00"/>
    <x v="1"/>
    <s v="DEL-SXR"/>
    <x v="0"/>
    <s v="DIVYANSHU CHATURVEDI"/>
    <s v="VINAY FAUZDAR"/>
    <x v="33"/>
    <x v="0"/>
    <s v="Comment"/>
    <s v="for 31 secs,  After Takeoff, Max EGT: 960 °C for 2 sec at 919 ft(radio)"/>
    <x v="120"/>
    <x v="122"/>
    <x v="90"/>
    <n v="31"/>
    <s v=""/>
    <s v=""/>
    <s v=""/>
    <s v=""/>
    <s v=""/>
    <s v="Red"/>
  </r>
  <r>
    <d v="2025-04-18T00:00:00"/>
    <x v="1"/>
    <s v="IXJ-DEL"/>
    <x v="2"/>
    <s v="ARVINDER SINGH"/>
    <s v="ROSHYA SEBI"/>
    <x v="33"/>
    <x v="0"/>
    <s v="Comment"/>
    <s v="for 3 secs,  After Takeoff, Max EGT: 951 °C for 3 sec at 816 ft(radio)"/>
    <x v="121"/>
    <x v="123"/>
    <x v="72"/>
    <n v="3"/>
    <s v=""/>
    <s v=""/>
    <s v=""/>
    <s v=""/>
    <s v=""/>
    <s v="Red"/>
  </r>
  <r>
    <d v="2025-04-19T00:00:00"/>
    <x v="1"/>
    <s v="DBR-DEL"/>
    <x v="2"/>
    <s v="KAPIL KUMAR MANGLIK"/>
    <s v="AMALENDU"/>
    <x v="16"/>
    <x v="0"/>
    <s v="Comment"/>
    <s v="for 4 secs, Starting from Alt: 119 ft(radio), Min ROD: 240 fpm at Alt: 115 ft(radio),_x000a_ CAS: 152 kt, Ground Speed: 143 kt, ILS Approach, A/P  not engaged, Winds: 107.2 deg 22.5 knots, Capt HDG: 102.7 deg"/>
    <x v="122"/>
    <x v="124"/>
    <x v="70"/>
    <n v="4"/>
    <s v=""/>
    <s v=""/>
    <s v=""/>
    <s v=""/>
    <s v=""/>
    <s v="Red"/>
  </r>
  <r>
    <d v="2025-04-19T00:00:00"/>
    <x v="1"/>
    <s v="BOM-CCU"/>
    <x v="10"/>
    <s v="SOUMYA SIVA GHOSH"/>
    <s v="ANJUL PRAVEEN TOPPO"/>
    <x v="1"/>
    <x v="0"/>
    <s v="Reported G"/>
    <s v="At 1140 ft (radio), NPA"/>
    <x v="123"/>
    <x v="125"/>
    <x v="91"/>
    <s v=""/>
    <s v=""/>
    <s v=""/>
    <s v=""/>
    <s v=""/>
    <n v="1140"/>
    <s v="Red"/>
  </r>
  <r>
    <d v="2025-04-20T00:00:00"/>
    <x v="1"/>
    <s v="BOM-DED"/>
    <x v="23"/>
    <s v="SANJEEV KUMAR"/>
    <s v="RUCHIR MANDAVIA"/>
    <x v="38"/>
    <x v="1"/>
    <s v="Comment"/>
    <s v="During descent, Landing Gear retracted at 250.3 kts at Altitude: 21167 ft(baro)"/>
    <x v="124"/>
    <x v="126"/>
    <x v="92"/>
    <s v=""/>
    <s v=""/>
    <n v="21167"/>
    <s v=""/>
    <s v=""/>
    <s v=""/>
    <s v="Red"/>
  </r>
  <r>
    <d v="2025-04-21T00:00:00"/>
    <x v="1"/>
    <s v="IXJ-SXR"/>
    <x v="0"/>
    <s v="ANAND MURTHY TIWARI"/>
    <s v="MOHIT KADIAN"/>
    <x v="13"/>
    <x v="0"/>
    <s v="Comment"/>
    <s v="for 6 sec, starting from Altitude: 5792 ft(baro),_x000a_ Max ROD: 1152 fpm for 3 sec at 5760 ft(baro), CAS: 155 kt, Ground Speed: 162.8 kt, ILS Approach"/>
    <x v="119"/>
    <x v="127"/>
    <x v="31"/>
    <n v="6"/>
    <s v=""/>
    <n v="5792"/>
    <s v=""/>
    <n v="1152"/>
    <s v=""/>
    <s v="Red"/>
  </r>
  <r>
    <d v="2025-04-21T00:00:00"/>
    <x v="1"/>
    <s v="BOM-SXR"/>
    <x v="0"/>
    <s v="NADEEM AHMAD"/>
    <s v="UNNATI PRAMOD KAMLAKAR"/>
    <x v="1"/>
    <x v="0"/>
    <s v="Reported G"/>
    <s v="At 694 ft (radio), ILS Approach"/>
    <x v="125"/>
    <x v="128"/>
    <x v="1"/>
    <s v=""/>
    <s v=""/>
    <s v=""/>
    <s v=""/>
    <s v=""/>
    <n v="694"/>
    <s v="Red"/>
  </r>
  <r>
    <d v="2025-04-21T00:00:00"/>
    <x v="1"/>
    <s v="DEL-SXR"/>
    <x v="0"/>
    <s v="MOHIT BHARDWAJ"/>
    <s v="SANJANA SANJAY AMRITE"/>
    <x v="1"/>
    <x v="0"/>
    <s v="Reported G"/>
    <s v="At 958 ft (radio), ILS Approach"/>
    <x v="68"/>
    <x v="4"/>
    <x v="1"/>
    <s v=""/>
    <s v=""/>
    <s v=""/>
    <s v=""/>
    <s v=""/>
    <n v="958"/>
    <s v="Red"/>
  </r>
  <r>
    <d v="2025-04-23T00:00:00"/>
    <x v="1"/>
    <s v="DEL-IXL"/>
    <x v="15"/>
    <s v="DHRUV MITAL"/>
    <s v="PRITAM HINDUJA"/>
    <x v="24"/>
    <x v="0"/>
    <s v="Comment"/>
    <s v="for 4 sec, Vref: 138 kts, Max CAS: 163 kts_x000a_ at Altitude: 19 ft(radio) for 1 sec, Visual Approach"/>
    <x v="102"/>
    <x v="129"/>
    <x v="45"/>
    <n v="4"/>
    <s v=""/>
    <n v="19"/>
    <s v=""/>
    <s v=""/>
    <s v=""/>
    <s v="Red"/>
  </r>
  <r>
    <d v="2025-04-23T00:00:00"/>
    <x v="1"/>
    <s v="DEL-IXL"/>
    <x v="15"/>
    <s v="DHRUV MITAL"/>
    <s v="PRITAM HINDUJA"/>
    <x v="23"/>
    <x v="0"/>
    <s v="Comment"/>
    <s v=" for 7 sec, Vref: 138, Max CAS: 162 kts for 2 sec at Altitude: 404 ft (radio), A/P not Engaged , Winds: 099.8 deg 1.5 knots, Capt HDG: 059.8 deg, Visual Approach"/>
    <x v="126"/>
    <x v="130"/>
    <x v="44"/>
    <n v="7"/>
    <s v=""/>
    <n v="404"/>
    <n v="162"/>
    <s v=""/>
    <s v=""/>
    <s v="Red"/>
  </r>
  <r>
    <d v="2025-04-23T00:00:00"/>
    <x v="1"/>
    <s v="DXB-CCJ"/>
    <x v="17"/>
    <s v="TANMAY GANESH KELUSKAR"/>
    <s v="SAHIL SHARMA"/>
    <x v="39"/>
    <x v="2"/>
    <s v="Comment"/>
    <s v="For 13 secs, max ground speed 42.5 kts for 5 secs, after landing"/>
    <x v="127"/>
    <x v="131"/>
    <x v="93"/>
    <s v=""/>
    <s v=""/>
    <s v=""/>
    <s v=""/>
    <s v=""/>
    <s v=""/>
    <s v="Red"/>
  </r>
  <r>
    <d v="2025-04-23T00:00:00"/>
    <x v="1"/>
    <s v="SXR-DEL"/>
    <x v="0"/>
    <s v="RAJIV KUMAR MENDIRATTA"/>
    <s v="SIDDHARTHA MOHAN"/>
    <x v="40"/>
    <x v="1"/>
    <s v="Comment"/>
    <s v="for 9 sec, Min CAS: 155 knots at 277 ft(radio), V1: 152, Vr: 154, V2: 157,_x000a_ Winds: 289.7 deg 9.50 knots, Capt HDG: 132.9"/>
    <x v="128"/>
    <x v="132"/>
    <x v="94"/>
    <n v="9"/>
    <s v=""/>
    <s v=""/>
    <s v=""/>
    <s v=""/>
    <s v=""/>
    <s v="Red"/>
  </r>
  <r>
    <d v="2025-04-23T00:00:00"/>
    <x v="1"/>
    <s v="DEL-BLR"/>
    <x v="12"/>
    <s v="ANEESH ATOORI"/>
    <s v="NIKHIL NARENDRA KOTHARI"/>
    <x v="33"/>
    <x v="0"/>
    <s v="Comment"/>
    <s v="for 31 secs, After  Takeoff, Max EGT: 985 °C for 2 sec at 1026 ft(radio)"/>
    <x v="129"/>
    <x v="133"/>
    <x v="95"/>
    <n v="31"/>
    <s v=""/>
    <s v=""/>
    <s v=""/>
    <s v=""/>
    <s v=""/>
    <s v="Red"/>
  </r>
  <r>
    <d v="2025-04-25T00:00:00"/>
    <x v="1"/>
    <s v="SXR-DEL"/>
    <x v="2"/>
    <s v="PUNEET SHARMA"/>
    <s v="ROHIT YENU TARI"/>
    <x v="33"/>
    <x v="0"/>
    <s v="Comment"/>
    <s v="for 23 secs, After  Takeoff, Max EGT: 961 °C for 4 sec at 995 ft(radio)"/>
    <x v="130"/>
    <x v="134"/>
    <x v="72"/>
    <n v="23"/>
    <s v=""/>
    <s v=""/>
    <s v=""/>
    <s v=""/>
    <s v=""/>
    <s v="Red"/>
  </r>
  <r>
    <d v="2025-04-26T00:00:00"/>
    <x v="1"/>
    <s v="BOM-DED"/>
    <x v="23"/>
    <s v="MAHENDRA KUVARJI CHHEDA"/>
    <s v="NAMITA SHRIPAL CHAURASIA"/>
    <x v="19"/>
    <x v="0"/>
    <s v="Comment"/>
    <s v="Activation of flap load relief, During approach, For 13 sec,_x000a_Max CAS 164.3 kts for 1 sec at Altitude: 2220 ft(radio),_x000a_Max Vertical Acceleration (Air): 1.13 g"/>
    <x v="131"/>
    <x v="135"/>
    <x v="96"/>
    <s v=""/>
    <s v=""/>
    <n v="2220"/>
    <s v=""/>
    <s v=""/>
    <s v=""/>
    <s v="Red"/>
  </r>
  <r>
    <d v="2025-04-28T00:00:00"/>
    <x v="1"/>
    <s v="CCJ-DXB"/>
    <x v="17"/>
    <s v="SANJEEV KUMAR"/>
    <s v="NAMIT DANG"/>
    <x v="1"/>
    <x v="0"/>
    <s v="Reported G"/>
    <s v="At 2060 ft (radio), NPA"/>
    <x v="132"/>
    <x v="136"/>
    <x v="97"/>
    <s v=""/>
    <s v=""/>
    <s v=""/>
    <s v=""/>
    <s v=""/>
    <n v="2060"/>
    <s v="Red"/>
  </r>
  <r>
    <d v="2025-04-28T00:00:00"/>
    <x v="1"/>
    <s v="DEL-SXR"/>
    <x v="0"/>
    <s v="DIVYANSHU CHATURVEDI"/>
    <s v="SHIVOM SINGH"/>
    <x v="1"/>
    <x v="0"/>
    <s v="Reported G"/>
    <s v="At 824 ft (radio), ILS Approach"/>
    <x v="133"/>
    <x v="137"/>
    <x v="1"/>
    <s v=""/>
    <s v=""/>
    <s v=""/>
    <s v=""/>
    <s v=""/>
    <n v="824"/>
    <s v="Red"/>
  </r>
  <r>
    <d v="2025-04-29T00:00:00"/>
    <x v="1"/>
    <s v="DBR-DEL"/>
    <x v="2"/>
    <s v="AMAN  JAIN"/>
    <s v="ANIL ARORA"/>
    <x v="1"/>
    <x v="0"/>
    <s v="Reported G"/>
    <s v="At 44 ft (radio), ILS Approach"/>
    <x v="134"/>
    <x v="138"/>
    <x v="4"/>
    <s v=""/>
    <s v=""/>
    <s v=""/>
    <s v=""/>
    <s v=""/>
    <n v="44"/>
    <s v="Red"/>
  </r>
  <r>
    <d v="2025-04-29T00:00:00"/>
    <x v="1"/>
    <s v="DEL-IXJ"/>
    <x v="18"/>
    <s v="SUDHIR SHARMA"/>
    <s v="NANCY NAYYAR"/>
    <x v="41"/>
    <x v="0"/>
    <s v="Comment"/>
    <s v="Flap 40 selected at: 1818 ft (baro)_x000a_Flap 40 reached posn at 1740 ft (baro), ILS Approach"/>
    <x v="135"/>
    <x v="139"/>
    <x v="98"/>
    <s v=""/>
    <s v=""/>
    <s v=""/>
    <s v=""/>
    <s v=""/>
    <s v=""/>
    <s v="Red"/>
  </r>
  <r>
    <d v="2025-04-29T00:00:00"/>
    <x v="1"/>
    <s v="DXB-AMD"/>
    <x v="17"/>
    <s v="NITIN DEV SAVLODIA"/>
    <s v="NIKHIL CHAWLA"/>
    <x v="8"/>
    <x v="2"/>
    <s v="Comment"/>
    <s v="for 5 sec, Max Ground Speed: 31.5 kt for 2 sec, _x000a_Before Takeoff"/>
    <x v="89"/>
    <x v="140"/>
    <x v="99"/>
    <n v="5"/>
    <s v=""/>
    <s v=""/>
    <s v=""/>
    <s v=""/>
    <s v=""/>
    <s v="Red"/>
  </r>
  <r>
    <d v="2025-04-30T00:00:00"/>
    <x v="1"/>
    <s v="DEL-PAT"/>
    <x v="1"/>
    <s v="RASHMI SHARMA"/>
    <s v="DIVYANG BAJPAI"/>
    <x v="16"/>
    <x v="0"/>
    <s v="Comment"/>
    <s v="for 16 sec, Starting from Alt: 402 ft(radio), Min ROD: 60 fpm at Alt: 392 ft(radio),_x000a_ CAS: 132 kt, Ground Speed: 117.5 kt, NPA, A/P Not Engaged, Winds: 080.9 deg 18.50 knots, Capt HDG: 069.6 deg "/>
    <x v="136"/>
    <x v="141"/>
    <x v="100"/>
    <n v="16"/>
    <s v=""/>
    <s v=""/>
    <s v=""/>
    <s v=""/>
    <s v=""/>
    <s v="Red"/>
  </r>
  <r>
    <d v="2025-04-30T00:00:00"/>
    <x v="1"/>
    <s v="DEL-BKK"/>
    <x v="24"/>
    <s v="VARUN GUPTA"/>
    <s v="VIKRAM  SINGH"/>
    <x v="1"/>
    <x v="0"/>
    <s v="Reported G"/>
    <s v="At 414 ft (radio), ILS Approach"/>
    <x v="105"/>
    <x v="142"/>
    <x v="101"/>
    <s v=""/>
    <s v=""/>
    <s v=""/>
    <s v=""/>
    <s v=""/>
    <n v="414"/>
    <s v="Red"/>
  </r>
  <r>
    <d v="2025-05-01T00:00:00"/>
    <x v="1"/>
    <s v="DXB-JAI"/>
    <x v="25"/>
    <s v="SANJEEV KUMAR"/>
    <s v="YUNUSAHMED MUHAMMADFARUK KHARADI"/>
    <x v="23"/>
    <x v="0"/>
    <s v="Comment"/>
    <s v=" for 5 sec, Vref: 143, Max CAS: 169.8 kts for 1 sec at Altitude: 248 ft (radio), A/P  Engaged , Winds: 50 deg 24 knots, Capt HDG: 78.4 deg, NPA"/>
    <x v="137"/>
    <x v="143"/>
    <x v="102"/>
    <n v="5"/>
    <s v=""/>
    <n v="248"/>
    <n v="169.8"/>
    <s v=""/>
    <s v=""/>
    <s v="Red"/>
  </r>
  <r>
    <d v="2025-05-02T00:00:00"/>
    <x v="1"/>
    <s v="MED-BOM"/>
    <x v="9"/>
    <s v="JAMSHEED MOHAMMED IBRAHIM SYED"/>
    <s v="KARAN PRATAP SINGH VIRK"/>
    <x v="42"/>
    <x v="0"/>
    <s v="DISREGARD"/>
    <s v="Wrong exceedance generated, aircraft was at 9000 ft baro, aircraft was not on final approach_x000a_Speedbrakes retracted at Altitude: 986 ft(radio)"/>
    <x v="138"/>
    <x v="144"/>
    <x v="103"/>
    <s v=""/>
    <s v=""/>
    <s v=""/>
    <s v=""/>
    <s v=""/>
    <s v=""/>
    <s v="Red"/>
  </r>
  <r>
    <d v="2025-05-04T00:00:00"/>
    <x v="1"/>
    <s v="BOM-IXB"/>
    <x v="16"/>
    <s v="JATIN CHANDRAKANT MER"/>
    <s v="ADITYA SATISH BAKSHI"/>
    <x v="36"/>
    <x v="0"/>
    <s v="Reported R"/>
    <s v="During Cruise, at Altitude: 36617 ft (baro), AOA #Right: U 10.4, AOA #Left: U 9.3 , Pitch: U 6.3 , Roll: R 2.3 , CAS: 226.8 kt,_x000a_ Max Vertical Acceleration (Air): 1.69 G, Flaps Up"/>
    <x v="139"/>
    <x v="145"/>
    <x v="104"/>
    <s v=""/>
    <s v=""/>
    <n v="36617"/>
    <s v=""/>
    <s v=""/>
    <s v=""/>
    <s v="Red"/>
  </r>
  <r>
    <d v="2025-05-06T00:00:00"/>
    <x v="1"/>
    <s v="DBR-BOM"/>
    <x v="9"/>
    <s v="CHARAN SINGH CHOUDHARY"/>
    <s v="SHABNAM GAFOOR KHAN SARGUROH"/>
    <x v="20"/>
    <x v="0"/>
    <s v="Comment"/>
    <s v=" for 4 sec, Vref: 128, Max CAS: 150.8 kts for 1 sec at Altitude: 176 ft (radio), A/P not Engaged , Winds: 209.5 deg 4.5 knots, Capt HDG: 267.2 deg, ILS Approach"/>
    <x v="140"/>
    <x v="146"/>
    <x v="105"/>
    <n v="4"/>
    <s v=""/>
    <n v="176"/>
    <n v="150.80000000000001"/>
    <s v=""/>
    <s v=""/>
    <s v="Red"/>
  </r>
  <r>
    <d v="2025-05-07T00:00:00"/>
    <x v="1"/>
    <s v="DBR-BOM"/>
    <x v="19"/>
    <s v="MAHENDRA KUVARJI CHHEDA"/>
    <s v="SHIRIN ABDUL HAMEED PASHA"/>
    <x v="5"/>
    <x v="1"/>
    <s v="Comment"/>
    <s v="CAS : 143.8 kts, Flap 5, V1 : 133, Vr : 135, V2 : 138 kts"/>
    <x v="92"/>
    <x v="147"/>
    <x v="106"/>
    <s v=""/>
    <s v=""/>
    <s v=""/>
    <s v=""/>
    <s v=""/>
    <s v=""/>
    <s v="Red"/>
  </r>
  <r>
    <d v="2025-05-08T00:00:00"/>
    <x v="1"/>
    <s v="DEL-PNQ"/>
    <x v="8"/>
    <s v="ARIHANT JAIN"/>
    <s v="AADIL MOHAMMADSHAFI GANDHI"/>
    <x v="43"/>
    <x v="0"/>
    <s v="Comment"/>
    <s v="for 6 secs, After  Takeoff, Max EGT: 952 °C for 4 sec at 794 ft(radio)"/>
    <x v="141"/>
    <x v="148"/>
    <x v="107"/>
    <n v="6"/>
    <s v=""/>
    <s v=""/>
    <s v=""/>
    <s v=""/>
    <s v=""/>
    <s v="Red"/>
  </r>
  <r>
    <d v="2025-05-09T00:00:00"/>
    <x v="1"/>
    <s v="BLR-DEL"/>
    <x v="2"/>
    <s v="AMAN  JAIN"/>
    <s v="ARUN VASHIST"/>
    <x v="1"/>
    <x v="0"/>
    <s v="Reported G"/>
    <s v="At 379 ft(radio), ILS Approach"/>
    <x v="134"/>
    <x v="149"/>
    <x v="4"/>
    <s v=""/>
    <s v=""/>
    <s v=""/>
    <s v=""/>
    <s v=""/>
    <n v="379"/>
    <s v="Red"/>
  </r>
  <r>
    <d v="2025-05-10T00:00:00"/>
    <x v="1"/>
    <s v="PNQ-DEL"/>
    <x v="2"/>
    <s v="ASHOKKUMAR GYANCHAND TALREJA"/>
    <s v="ALHAD SUDHIR PHADKE"/>
    <x v="19"/>
    <x v="0"/>
    <s v="Comment"/>
    <s v="Before go around, for 1 sec, during approach, Max CAS 164 kts for 1 sec at Altitude: 797 ft(radio), Max Vertical Acceleration (Air): 1.39 G"/>
    <x v="142"/>
    <x v="150"/>
    <x v="108"/>
    <n v="1"/>
    <s v=""/>
    <n v="797"/>
    <s v=""/>
    <s v=""/>
    <s v=""/>
    <s v="Red"/>
  </r>
  <r>
    <d v="2025-05-10T00:00:00"/>
    <x v="1"/>
    <s v="KTM-DEL"/>
    <x v="2"/>
    <s v="MANAS CHATTERJEE"/>
    <s v="VARUN CHOPRA"/>
    <x v="33"/>
    <x v="0"/>
    <s v="Comment"/>
    <s v="for 32 secs, During Takeoff, Max EGT: 955 °C for 5 secs at 1364 ft(radio)"/>
    <x v="143"/>
    <x v="151"/>
    <x v="72"/>
    <n v="32"/>
    <s v=""/>
    <s v=""/>
    <s v=""/>
    <s v=""/>
    <s v=""/>
    <s v="Red"/>
  </r>
  <r>
    <d v="2025-05-14T00:00:00"/>
    <x v="1"/>
    <s v="DEL-SXR"/>
    <x v="0"/>
    <s v="SUDHIR SHARMA"/>
    <s v="ANKUR BALANA"/>
    <x v="10"/>
    <x v="0"/>
    <s v="Comment"/>
    <s v="CAS: 139.5 kts, _x000a_Flap 30 Landing, Roll L 0.5 deg"/>
    <x v="144"/>
    <x v="152"/>
    <x v="109"/>
    <s v=""/>
    <s v=""/>
    <s v=""/>
    <s v=""/>
    <s v=""/>
    <s v=""/>
    <s v="Red"/>
  </r>
  <r>
    <d v="2025-05-14T00:00:00"/>
    <x v="1"/>
    <s v="DEL-BOM"/>
    <x v="9"/>
    <s v="SANJEEV KUMAR"/>
    <s v="APEKSHA SINGH."/>
    <x v="34"/>
    <x v="0"/>
    <s v="Reported R"/>
    <s v="for 4 sec, Vref: 122 kts, Max CAS: 149.2 kts_x000a_ at Altitude: 956 ft(radio) for 1 sec, ILS Approach"/>
    <x v="145"/>
    <x v="153"/>
    <x v="110"/>
    <n v="4"/>
    <s v=""/>
    <n v="956"/>
    <s v=""/>
    <s v=""/>
    <s v=""/>
    <s v="Red"/>
  </r>
  <r>
    <d v="2025-05-14T00:00:00"/>
    <x v="1"/>
    <s v="DEL-BOM"/>
    <x v="9"/>
    <s v="SANJEEV KUMAR"/>
    <s v="APEKSHA SINGH."/>
    <x v="41"/>
    <x v="0"/>
    <s v="Reported R"/>
    <s v="Flap 30 selected at: 985 ft(baro),_x000a_Flap 30 reached position at 908 ft(baro), ILS Approach"/>
    <x v="146"/>
    <x v="154"/>
    <x v="111"/>
    <s v=""/>
    <s v=""/>
    <s v=""/>
    <s v=""/>
    <s v=""/>
    <s v=""/>
    <s v="Red"/>
  </r>
  <r>
    <d v="2025-05-13T00:00:00"/>
    <x v="1"/>
    <s v="DEL-PNQ"/>
    <x v="8"/>
    <s v="VARUN GUPTA"/>
    <s v="PRASAD RAVINDRA MANIYAR"/>
    <x v="33"/>
    <x v="0"/>
    <s v="Comment"/>
    <s v="for 11 secs,  After Takeoff, Max EGT: 958 °C for 1 sec at 1100 ft(radio)"/>
    <x v="147"/>
    <x v="155"/>
    <x v="112"/>
    <n v="11"/>
    <s v=""/>
    <s v=""/>
    <s v=""/>
    <s v=""/>
    <s v=""/>
    <s v="Red"/>
  </r>
  <r>
    <d v="2025-05-14T00:00:00"/>
    <x v="1"/>
    <s v="DEL-KTM"/>
    <x v="26"/>
    <s v="RAHUL SHARMA."/>
    <s v="SANJIV MIDHA"/>
    <x v="44"/>
    <x v="0"/>
    <s v="Comment"/>
    <s v="for 6 sec, starting from Altitude: 5312 ft(baro),_x000a_ Max ROD: 1856 fpm for 2 sec at 5280 ft(baro), CAS: 145.2 kt, Ground Speed: 184 kt, NPA"/>
    <x v="148"/>
    <x v="156"/>
    <x v="113"/>
    <n v="6"/>
    <s v=""/>
    <n v="5312"/>
    <s v=""/>
    <n v="1856"/>
    <s v=""/>
    <s v="Red"/>
  </r>
  <r>
    <d v="2025-05-15T00:00:00"/>
    <x v="1"/>
    <s v="BLR-DED"/>
    <x v="23"/>
    <s v="TEJAS SALUJA"/>
    <s v="SABAREE THANGAVEL"/>
    <x v="3"/>
    <x v="0"/>
    <s v="Comment"/>
    <s v="for 7 sec, Deviation started from: 449 ft(radio), _x000a_Max Deviation 2.09 at Altitude: 398 ft(radio)"/>
    <x v="91"/>
    <x v="157"/>
    <x v="114"/>
    <n v="7"/>
    <n v="2.09"/>
    <s v=""/>
    <s v=""/>
    <s v=""/>
    <s v=""/>
    <s v="Red"/>
  </r>
  <r>
    <d v="2025-05-16T00:00:00"/>
    <x v="1"/>
    <s v="DBR-DEL"/>
    <x v="2"/>
    <s v="RAJIV SINGH"/>
    <s v="VAIBHAV SINGH"/>
    <x v="1"/>
    <x v="0"/>
    <s v="Reported G"/>
    <s v="At 1996 ft (radio), NPA"/>
    <x v="149"/>
    <x v="158"/>
    <x v="4"/>
    <s v=""/>
    <s v=""/>
    <s v=""/>
    <s v=""/>
    <s v=""/>
    <n v="1996"/>
    <s v="Red"/>
  </r>
  <r>
    <d v="2025-05-17T00:00:00"/>
    <x v="1"/>
    <s v="BKK-DEL"/>
    <x v="2"/>
    <s v="AMALENDU"/>
    <s v="DEEPINDER PAL SINGH WALIA"/>
    <x v="45"/>
    <x v="0"/>
    <s v="Disreagrd"/>
    <s v="Flare time (46 feet to touchdown): 10 sec, _x000a_Vref: 144 kt, At 46 ft: CAS 151 kt,_x000a_ ENG #1 N1: 49 ENG #2 N1: 46.8_x000a_ At Touch Down: CAS 138.5 kt, ENG #1 N1: 29, ENG #2 N1: 29.6"/>
    <x v="150"/>
    <x v="159"/>
    <x v="115"/>
    <s v=""/>
    <s v=""/>
    <s v=""/>
    <s v=""/>
    <s v=""/>
    <n v="46"/>
    <s v="Red"/>
  </r>
  <r>
    <d v="2025-05-18T00:00:00"/>
    <x v="1"/>
    <s v="PAT-DEL"/>
    <x v="2"/>
    <s v="PARITOSH KUMAR SINGH"/>
    <s v="RONNY SINGH"/>
    <x v="16"/>
    <x v="0"/>
    <s v="Comment"/>
    <s v="for 4 sec, Starting from Alt: 134 ft(radio), Min ROD: 255 fpm at Alt: 134 ft(radio),_x000a_ CAS: 141 kt, Ground Speed: 139 kt, NPA, A/P not  Engaged, Winds: 120.2 deg 8.5 knots, Capt HDG: 105.5 deg"/>
    <x v="151"/>
    <x v="160"/>
    <x v="70"/>
    <n v="4"/>
    <s v=""/>
    <s v=""/>
    <s v=""/>
    <s v=""/>
    <s v=""/>
    <s v="Red"/>
  </r>
  <r>
    <d v="2025-05-18T00:00:00"/>
    <x v="1"/>
    <s v="PAT-DEL"/>
    <x v="2"/>
    <s v="PARITOSH KUMAR SINGH"/>
    <s v="RONNY SINGH"/>
    <x v="23"/>
    <x v="0"/>
    <s v="Comment"/>
    <s v="For 8 sec, Vref: 122 kts, Max CAS: 144.5 kts_x000a_ at Altitude: 124 ft(radio) for 2 sec, NPA"/>
    <x v="152"/>
    <x v="161"/>
    <x v="55"/>
    <s v=""/>
    <s v=""/>
    <n v="124"/>
    <s v=""/>
    <s v=""/>
    <s v=""/>
    <s v="Red"/>
  </r>
  <r>
    <d v="2025-05-18T00:00:00"/>
    <x v="1"/>
    <s v="PAT-DEL"/>
    <x v="2"/>
    <s v="PARITOSH KUMAR SINGH"/>
    <s v="RONNY SINGH"/>
    <x v="24"/>
    <x v="0"/>
    <s v="Comment"/>
    <s v="For 5 sec, Vref: 122 kts, Max CAS: 144.5 kts_x000a_ at Altitude: 34 ft(radio) for 1 sec, NPA"/>
    <x v="153"/>
    <x v="162"/>
    <x v="116"/>
    <s v=""/>
    <s v=""/>
    <n v="34"/>
    <s v=""/>
    <s v=""/>
    <s v=""/>
    <s v="Red"/>
  </r>
  <r>
    <d v="2025-05-17T00:00:00"/>
    <x v="1"/>
    <s v="AMD-DXB"/>
    <x v="13"/>
    <s v="NITIN DEV SAVLODIA"/>
    <s v="VISHAL CHHIKARA"/>
    <x v="8"/>
    <x v="2"/>
    <s v="Comment"/>
    <s v="for 12 sec, Max Ground Speed: 31.5 kt for 1 sec, _x000a_After Landing"/>
    <x v="89"/>
    <x v="163"/>
    <x v="117"/>
    <n v="12"/>
    <s v=""/>
    <s v=""/>
    <s v=""/>
    <s v=""/>
    <s v=""/>
    <s v="Red"/>
  </r>
  <r>
    <d v="2025-05-16T00:00:00"/>
    <x v="1"/>
    <s v="DED-BLR"/>
    <x v="12"/>
    <s v="ANUBHAV KUMAR_x000a_"/>
    <s v="VIKRAM  SINGH"/>
    <x v="41"/>
    <x v="0"/>
    <s v="Comment"/>
    <s v="Flap 30 selected at: 3985 ft(baro),_x000a_Flap 30 reached position at 3901 ft(baro), ILS Approach"/>
    <x v="154"/>
    <x v="164"/>
    <x v="118"/>
    <s v=""/>
    <s v=""/>
    <s v=""/>
    <s v=""/>
    <s v=""/>
    <s v=""/>
    <s v="Red"/>
  </r>
  <r>
    <d v="2025-05-17T00:00:00"/>
    <x v="1"/>
    <s v="BKK-DEL"/>
    <x v="2"/>
    <s v="HARINDER SINGH"/>
    <s v="SAKSHI SAXENA"/>
    <x v="6"/>
    <x v="0"/>
    <s v="Comment"/>
    <s v="Flare time (46 feet to touchdown): 10 sec, _x000a_Vref: 144 kt, At 46 ft: CAS 151 kt,_x000a_ ENG #1 N1: 49 ENG #2 N1: 46.8_x000a_ At Touch Down: CAS 138.5 kt, ENG #1 N1: 29, ENG #2 N1: 29.6"/>
    <x v="155"/>
    <x v="165"/>
    <x v="10"/>
    <s v=""/>
    <s v=""/>
    <s v=""/>
    <s v=""/>
    <s v=""/>
    <n v="46"/>
    <s v="Red"/>
  </r>
  <r>
    <d v="2025-05-19T00:00:00"/>
    <x v="1"/>
    <s v="BOM-DEL"/>
    <x v="2"/>
    <s v="ANAND MURTHY TIWARI"/>
    <s v="UMANG BHATIA"/>
    <x v="1"/>
    <x v="0"/>
    <s v="Reported G"/>
    <s v="At 288 ft(radio), NPA"/>
    <x v="156"/>
    <x v="166"/>
    <x v="4"/>
    <s v=""/>
    <s v=""/>
    <s v=""/>
    <s v=""/>
    <s v=""/>
    <n v="288"/>
    <s v="Red"/>
  </r>
  <r>
    <d v="2025-05-22T00:00:00"/>
    <x v="1"/>
    <s v="BOM-GOX"/>
    <x v="6"/>
    <s v="MAHENDRA KUVARJI CHHEDA"/>
    <s v="MAAZ MOHAMMED"/>
    <x v="41"/>
    <x v="0"/>
    <s v="Comment"/>
    <s v="Flap 30 selected at: 1477 ft(baro),_x000a_Flap 30 reached position at 1406 ft(baro), ILS Approach"/>
    <x v="157"/>
    <x v="167"/>
    <x v="119"/>
    <s v=""/>
    <s v=""/>
    <s v=""/>
    <s v=""/>
    <s v=""/>
    <s v=""/>
    <s v="Red"/>
  </r>
  <r>
    <d v="2025-05-22T00:00:00"/>
    <x v="1"/>
    <s v="BOM-GOX"/>
    <x v="6"/>
    <s v="MAHENDRA KUVARJI CHHEDA"/>
    <s v="MAAZ MOHAMMED"/>
    <x v="34"/>
    <x v="0"/>
    <s v="Comment"/>
    <s v="for 4 sec, Vref: 130 kts, Max CAS: 155.5 kts_x000a_ at Altitude: 1477 ft(baro) for 3 sec, ILS Approach"/>
    <x v="158"/>
    <x v="168"/>
    <x v="120"/>
    <n v="4"/>
    <s v=""/>
    <n v="1477"/>
    <s v=""/>
    <s v=""/>
    <s v=""/>
    <s v="Red"/>
  </r>
  <r>
    <d v="2025-05-22T00:00:00"/>
    <x v="1"/>
    <s v="IXB-DEL"/>
    <x v="2"/>
    <s v="MANABENDRA DEKA"/>
    <s v="NIKHIL CHAWLA"/>
    <x v="1"/>
    <x v="0"/>
    <s v="Reported G"/>
    <s v="At 728 ft(radio), ILS Approach"/>
    <x v="159"/>
    <x v="169"/>
    <x v="4"/>
    <s v=""/>
    <s v=""/>
    <s v=""/>
    <s v=""/>
    <s v=""/>
    <n v="728"/>
    <s v="Red"/>
  </r>
  <r>
    <d v="2025-05-23T00:00:00"/>
    <x v="1"/>
    <s v="DEL-IXL"/>
    <x v="15"/>
    <s v="DHRUV MITAL"/>
    <s v="RACHITA MATTA"/>
    <x v="24"/>
    <x v="0"/>
    <s v="Comment"/>
    <s v="for 4 secs, Vref: 137 kts, Max CAS: 156.8 kts_x000a_ at Altitude: 10 ft(radio) for 1 sec, NPA"/>
    <x v="102"/>
    <x v="170"/>
    <x v="45"/>
    <n v="4"/>
    <s v=""/>
    <n v="10"/>
    <s v=""/>
    <s v=""/>
    <s v=""/>
    <s v="Red"/>
  </r>
  <r>
    <d v="2025-05-25T00:00:00"/>
    <x v="1"/>
    <s v="DXB-DEL"/>
    <x v="2"/>
    <s v="ARPIT ASHIT GANDHI"/>
    <s v="SUKIRAT SINGH"/>
    <x v="46"/>
    <x v="0"/>
    <s v="Reported G"/>
    <s v="At 473 ft (radio), NPA "/>
    <x v="160"/>
    <x v="171"/>
    <x v="121"/>
    <s v=""/>
    <s v=""/>
    <s v=""/>
    <s v=""/>
    <s v=""/>
    <n v="473"/>
    <s v="Red"/>
  </r>
  <r>
    <d v="2025-05-25T00:00:00"/>
    <x v="1"/>
    <s v="DXB-DEL"/>
    <x v="2"/>
    <s v="ARPIT ASHIT GANDHI"/>
    <s v="SUKIRAT SINGH"/>
    <x v="47"/>
    <x v="0"/>
    <s v="Reported G"/>
    <s v="At 1139 ft (radio), NPA "/>
    <x v="161"/>
    <x v="172"/>
    <x v="122"/>
    <s v=""/>
    <s v=""/>
    <s v=""/>
    <s v=""/>
    <s v=""/>
    <n v="1139"/>
    <s v="Red"/>
  </r>
  <r>
    <d v="2025-05-24T00:00:00"/>
    <x v="1"/>
    <s v="CCJ-DXB"/>
    <x v="7"/>
    <s v="TANMAY GANESH KELUSKAR"/>
    <s v="ADITYA SHARMA POTHURI"/>
    <x v="39"/>
    <x v="2"/>
    <s v="Comment"/>
    <s v="For 8 secs, max ground speed 43 kts for 1 sec, before take-off"/>
    <x v="127"/>
    <x v="173"/>
    <x v="123"/>
    <s v=""/>
    <s v=""/>
    <s v=""/>
    <s v=""/>
    <s v=""/>
    <s v=""/>
    <s v="Red"/>
  </r>
  <r>
    <d v="2025-05-26T00:00:00"/>
    <x v="1"/>
    <s v="DED-AMD"/>
    <x v="13"/>
    <s v="BHUSHAN SHAILESH SHAH"/>
    <s v="CHIRAG PRAKASH VANWARI"/>
    <x v="1"/>
    <x v="0"/>
    <s v="Reported G"/>
    <s v="At 483 ft (radio), NPA."/>
    <x v="162"/>
    <x v="174"/>
    <x v="76"/>
    <s v=""/>
    <s v=""/>
    <s v=""/>
    <s v=""/>
    <s v=""/>
    <n v="483"/>
    <s v="Red"/>
  </r>
  <r>
    <d v="2025-05-25T00:00:00"/>
    <x v="1"/>
    <s v="BLR-PAT"/>
    <x v="12"/>
    <s v="SNEHA SHEKHAWAT"/>
    <s v="SABAREE THANGAVEL"/>
    <x v="4"/>
    <x v="1"/>
    <s v="Comment"/>
    <s v="for 1 sec, Max Bank: R 8.3 at Altitude: 199 ft(radio),_x000a_ CAS: 164.8 kt, Flap: 5"/>
    <x v="163"/>
    <x v="175"/>
    <x v="124"/>
    <n v="1"/>
    <s v=""/>
    <n v="199"/>
    <s v=""/>
    <s v=""/>
    <s v=""/>
    <s v="Red"/>
  </r>
  <r>
    <d v="2025-05-26T00:00:00"/>
    <x v="1"/>
    <s v="BLR-DED"/>
    <x v="23"/>
    <s v="RUPALI PIMPLE"/>
    <s v="SURABHI"/>
    <x v="48"/>
    <x v="0"/>
    <s v="Comment"/>
    <s v="CAS: 155.2 knots, V1: 120, Vr: 124, V2: 126, Flap 5,_x000a_ Winds: 259.8 deg 9 knots, Capt HDG: 270.4"/>
    <x v="164"/>
    <x v="176"/>
    <x v="125"/>
    <s v=""/>
    <s v=""/>
    <s v=""/>
    <s v=""/>
    <s v=""/>
    <s v=""/>
    <s v="Red"/>
  </r>
  <r>
    <d v="2025-05-27T00:00:00"/>
    <x v="1"/>
    <s v="DEL-DBR"/>
    <x v="2"/>
    <s v="ISHAN SHARMA."/>
    <s v="PRASHAM HARICHARAN BANSAL"/>
    <x v="49"/>
    <x v="1"/>
    <s v="Reported R"/>
    <s v="Flap 1 selected from Flap 5 at 1426 ft(Baro)"/>
    <x v="165"/>
    <x v="177"/>
    <x v="126"/>
    <s v=""/>
    <s v=""/>
    <s v=""/>
    <s v=""/>
    <s v=""/>
    <s v=""/>
    <s v="Red"/>
  </r>
  <r>
    <d v="2025-05-26T00:00:00"/>
    <x v="1"/>
    <s v="BOM-IXB"/>
    <x v="16"/>
    <s v="ASHISH MAHESHKUMAR MAYANI"/>
    <s v="NAVIN NARSINGHRAO SABUNKAR"/>
    <x v="33"/>
    <x v="0"/>
    <s v="Comment"/>
    <s v="for 38 secs, After  Takeoff, Max EGT: 964 °C for 1 sec at 1213 ft(radio)"/>
    <x v="166"/>
    <x v="178"/>
    <x v="127"/>
    <n v="38"/>
    <s v=""/>
    <s v=""/>
    <s v=""/>
    <s v=""/>
    <s v=""/>
    <s v="Red"/>
  </r>
  <r>
    <d v="2025-05-28T00:00:00"/>
    <x v="1"/>
    <s v="AMD-CCU"/>
    <x v="13"/>
    <s v="MANABENDRA DEKA"/>
    <s v="ROHIT PANDEY"/>
    <x v="4"/>
    <x v="1"/>
    <s v="Comment"/>
    <s v="for 1 sec, Max Bank: L 8.4 at Altitude: 339 ft(radio),_x000a_ CAS: 176.8 kt, Flap: 5"/>
    <x v="167"/>
    <x v="179"/>
    <x v="128"/>
    <n v="1"/>
    <s v=""/>
    <n v="339"/>
    <s v=""/>
    <s v=""/>
    <s v=""/>
    <s v="Red"/>
  </r>
  <r>
    <d v="2025-05-29T00:00:00"/>
    <x v="1"/>
    <s v="DEL-PAT"/>
    <x v="1"/>
    <s v="ASHISH JAYASWAL"/>
    <s v="ANSHU SHARMA"/>
    <x v="10"/>
    <x v="0"/>
    <s v="Comment"/>
    <s v="CAS: 134 kts, _x000a_Flap 40 Landing, Roll L 1.1 deg"/>
    <x v="168"/>
    <x v="180"/>
    <x v="129"/>
    <s v=""/>
    <s v=""/>
    <s v=""/>
    <s v=""/>
    <s v=""/>
    <s v=""/>
    <s v="Red"/>
  </r>
  <r>
    <d v="2025-05-29T00:00:00"/>
    <x v="1"/>
    <s v="BOM-PAT"/>
    <x v="1"/>
    <s v="RASHMI SHARMA"/>
    <s v="SHIRIN ABDUL HAMEED PASHA"/>
    <x v="1"/>
    <x v="0"/>
    <s v="Reported G"/>
    <s v="At 760 ft (radio), ILS Approach"/>
    <x v="169"/>
    <x v="181"/>
    <x v="130"/>
    <s v=""/>
    <s v=""/>
    <s v=""/>
    <s v=""/>
    <s v=""/>
    <n v="760"/>
    <s v="Red"/>
  </r>
  <r>
    <d v="2025-05-30T00:00:00"/>
    <x v="1"/>
    <s v="PAT-BOM"/>
    <x v="9"/>
    <s v="CHARAN SINGH CHOUDHARY"/>
    <s v="NAVIN NARSINGHRAO SABUNKAR"/>
    <x v="23"/>
    <x v="0"/>
    <s v="Comment"/>
    <s v=" for 8 secs, Vref: 131, Max CAS: 155.2 kts for 1 sec at Altitude: 80 ft (Baro), A/P not Engaged , Winds: 243.3 deg 11.5 knots, Capt HDG: 267.5 deg, ILS Approach"/>
    <x v="170"/>
    <x v="182"/>
    <x v="131"/>
    <n v="8"/>
    <s v=""/>
    <n v="80"/>
    <n v="155.19999999999999"/>
    <s v=""/>
    <s v=""/>
    <s v="Red"/>
  </r>
  <r>
    <d v="2025-05-30T00:00:00"/>
    <x v="1"/>
    <s v="PAT-BOM"/>
    <x v="9"/>
    <s v="CHARAN SINGH CHOUDHARY"/>
    <s v="NAVIN NARSINGHRAO SABUNKAR"/>
    <x v="24"/>
    <x v="0"/>
    <s v="Comment"/>
    <s v="for 4 secs, Vref: 131 kts, Max CAS: 154.5 kts_x000a_ at Altitude: 44 ft(radio) for 1 sec, ILS Approach"/>
    <x v="171"/>
    <x v="183"/>
    <x v="132"/>
    <n v="4"/>
    <s v=""/>
    <n v="44"/>
    <s v=""/>
    <s v=""/>
    <s v=""/>
    <s v="Red"/>
  </r>
  <r>
    <d v="2025-05-30T00:00:00"/>
    <x v="1"/>
    <s v="DEL-BOM"/>
    <x v="9"/>
    <s v="SHAKTI SATYAKUMAR KAUSHAL"/>
    <s v="ANTARA PURI"/>
    <x v="3"/>
    <x v="0"/>
    <s v="Comment"/>
    <s v="for 4 sec, Deviation started from: 353 ft(radio), _x000a_Max Deviation 1.12 at Altitude: 343 ft(radio)"/>
    <x v="36"/>
    <x v="184"/>
    <x v="38"/>
    <n v="4"/>
    <n v="1.1200000000000001"/>
    <s v=""/>
    <s v=""/>
    <s v=""/>
    <s v=""/>
    <s v="Red"/>
  </r>
  <r>
    <d v="2025-06-04T00:00:00"/>
    <x v="1"/>
    <s v="DXB-DEL"/>
    <x v="2"/>
    <s v="SANJEEV KUMAR"/>
    <s v="SAHIL SHARMA"/>
    <x v="14"/>
    <x v="0"/>
    <s v="Reported G"/>
    <s v="At 157 ft (radio), NPA"/>
    <x v="172"/>
    <x v="185"/>
    <x v="133"/>
    <s v=""/>
    <s v=""/>
    <s v=""/>
    <s v=""/>
    <s v=""/>
    <n v="157"/>
    <s v="Red"/>
  </r>
  <r>
    <d v="2025-06-04T00:00:00"/>
    <x v="1"/>
    <s v="DXB-DEL"/>
    <x v="2"/>
    <s v="SANJEEV KUMAR"/>
    <s v="SAHIL SHARMA"/>
    <x v="15"/>
    <x v="0"/>
    <s v="Reported G"/>
    <s v="At 200 ft (radio), NPA"/>
    <x v="173"/>
    <x v="186"/>
    <x v="134"/>
    <s v=""/>
    <s v=""/>
    <s v=""/>
    <s v=""/>
    <s v=""/>
    <n v="200"/>
    <s v="Red"/>
  </r>
  <r>
    <d v="2025-06-05T00:00:00"/>
    <x v="1"/>
    <s v="DEL-KTM"/>
    <x v="26"/>
    <s v="RAHUL SHARMA."/>
    <s v="ANTARA PURI"/>
    <x v="13"/>
    <x v="0"/>
    <s v="Comment"/>
    <s v="for 5 sec, starting from Altitude: 4800 ft(baro),_x000a_ Max ROD: 1360 fpm for 1 sec at 4736 ft(baro), CAS: 142 kt, Ground Speed: 154 kt, NPA"/>
    <x v="174"/>
    <x v="187"/>
    <x v="135"/>
    <n v="5"/>
    <s v=""/>
    <n v="4800"/>
    <s v=""/>
    <n v="1360"/>
    <s v=""/>
    <s v="Red"/>
  </r>
  <r>
    <d v="2025-06-05T00:00:00"/>
    <x v="1"/>
    <s v="DEL-PNQ"/>
    <x v="8"/>
    <s v="Olym Roy"/>
    <s v="Shraddha Sharma"/>
    <x v="32"/>
    <x v="0"/>
    <s v="Reported R"/>
    <s v="Flap 30 landing, Pitch U 6.5, Roll L 0.5"/>
    <x v="175"/>
    <x v="188"/>
    <x v="136"/>
    <s v=""/>
    <s v=""/>
    <s v=""/>
    <s v=""/>
    <s v=""/>
    <s v=""/>
    <s v="Red"/>
  </r>
  <r>
    <d v="2025-06-06T00:00:00"/>
    <x v="1"/>
    <s v="DXB-IXM"/>
    <x v="17"/>
    <s v="MAHENDRA KUVARJI CHHEDA"/>
    <s v="KARAN PRATAP SINGH VIRK"/>
    <x v="50"/>
    <x v="1"/>
    <s v="Comment"/>
    <s v="for 12 sec, Min CAS: 168.8 knots at 815 ft(Baro)/755 ft (AFE), V1: 166, Vr: 169, V2: 173,_x000a_ Winds: 207 deg 11.50 knots, Capt HDG: 120.2"/>
    <x v="176"/>
    <x v="189"/>
    <x v="137"/>
    <n v="12"/>
    <s v=""/>
    <s v=""/>
    <s v=""/>
    <s v=""/>
    <s v=""/>
    <s v="Red"/>
  </r>
  <r>
    <d v="2025-06-06T00:00:00"/>
    <x v="1"/>
    <s v="AMD-AMD"/>
    <x v="13"/>
    <s v="ARUN VASHIST"/>
    <s v="ASHISH DAGAR"/>
    <x v="51"/>
    <x v="1"/>
    <s v="Comment"/>
    <s v="for 9 sec, Min CAS: 131.2 knots at 0 ft(radio), 175 ft (baro) V1: 137, Vr: 137, V2: 139,_x000a_ Winds: 282.7 deg 5.50 knots, Capt HDG: 226.8"/>
    <x v="177"/>
    <x v="190"/>
    <x v="138"/>
    <n v="9"/>
    <s v=""/>
    <s v=""/>
    <s v=""/>
    <s v=""/>
    <s v=""/>
    <s v="Red"/>
  </r>
  <r>
    <d v="2025-06-06T00:00:00"/>
    <x v="1"/>
    <s v="AMD-AMD"/>
    <x v="13"/>
    <s v="ARUN VASHIST"/>
    <s v="SHREENATH RAJU NAIR"/>
    <x v="51"/>
    <x v="1"/>
    <s v="Comment"/>
    <s v="for 10 sec, Min CAS: 133.5 knots at 0 ft(radio), 158 ft (baro) V1: 140, Vr: 140, V2: 143,_x000a_ Winds: 266.5 deg 3.50 knots, Capt HDG: 226.4"/>
    <x v="177"/>
    <x v="191"/>
    <x v="138"/>
    <n v="10"/>
    <s v=""/>
    <s v=""/>
    <s v=""/>
    <s v=""/>
    <s v=""/>
    <s v="Red"/>
  </r>
  <r>
    <d v="2025-06-08T00:00:00"/>
    <x v="1"/>
    <s v="GAU-DEL"/>
    <x v="2"/>
    <s v="NILESH KUMAR NONHARE"/>
    <s v="AKASH SANDHU"/>
    <x v="1"/>
    <x v="0"/>
    <s v="Reported G"/>
    <s v="At 52 ft (radio), NPA."/>
    <x v="178"/>
    <x v="56"/>
    <x v="4"/>
    <s v=""/>
    <s v=""/>
    <s v=""/>
    <s v=""/>
    <s v=""/>
    <m/>
    <s v="Red"/>
  </r>
  <r>
    <d v="2025-06-09T00:00:00"/>
    <x v="1"/>
    <s v="BOM-PAT"/>
    <x v="9"/>
    <s v="ASHISH MAHESHKUMAR MAYANI"/>
    <s v="DIVYANG BAJPAI"/>
    <x v="52"/>
    <x v="1"/>
    <s v="Reported R"/>
    <s v="for 1 sec, starting from Altitude: 4165 ft (baro),_x000a_ Max. Bank: R 37.8 at Altitude: 4165 ft(baro), CAS: 232.8 kts, Flaps up"/>
    <x v="179"/>
    <x v="192"/>
    <x v="139"/>
    <n v="1"/>
    <s v=""/>
    <n v="4165"/>
    <s v=""/>
    <s v=""/>
    <m/>
    <s v="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48B3CB-B035-EC47-948A-FC10EE9D3565}" name="PivotTable3"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E6" firstHeaderRow="1" firstDataRow="2" firstDataCol="1"/>
  <pivotFields count="20">
    <pivotField showAll="0"/>
    <pivotField showAll="0"/>
    <pivotField showAll="0"/>
    <pivotField axis="axisRow" showAll="0">
      <items count="28">
        <item x="13"/>
        <item h="1" x="5"/>
        <item h="1" x="24"/>
        <item h="1" x="12"/>
        <item h="1" x="9"/>
        <item h="1" x="7"/>
        <item h="1" x="10"/>
        <item h="1" x="22"/>
        <item h="1" x="19"/>
        <item h="1" x="23"/>
        <item h="1" x="2"/>
        <item h="1" x="17"/>
        <item h="1" x="3"/>
        <item h="1" x="6"/>
        <item h="1" x="4"/>
        <item h="1" x="16"/>
        <item h="1" x="14"/>
        <item h="1" x="18"/>
        <item h="1" x="15"/>
        <item h="1" x="20"/>
        <item h="1" x="25"/>
        <item h="1" x="26"/>
        <item h="1" x="21"/>
        <item h="1" x="1"/>
        <item h="1" x="8"/>
        <item h="1" x="0"/>
        <item h="1" x="11"/>
        <item t="default"/>
      </items>
    </pivotField>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t="grand">
      <x/>
    </i>
  </rowItems>
  <colFields count="1">
    <field x="7"/>
  </colFields>
  <colItems count="4">
    <i>
      <x/>
    </i>
    <i>
      <x v="1"/>
    </i>
    <i>
      <x v="2"/>
    </i>
    <i t="grand">
      <x/>
    </i>
  </colItems>
  <dataFields count="1">
    <dataField name="Count of EXCEEDANCE" fld="6" subtotal="count" baseField="0" baseItem="0"/>
  </dataFields>
  <chartFormats count="9">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2">
          <reference field="4294967294" count="1" selected="0">
            <x v="0"/>
          </reference>
          <reference field="7" count="1" selected="0">
            <x v="0"/>
          </reference>
        </references>
      </pivotArea>
    </chartFormat>
    <chartFormat chart="7" format="4" series="1">
      <pivotArea type="data" outline="0" fieldPosition="0">
        <references count="2">
          <reference field="4294967294" count="1" selected="0">
            <x v="0"/>
          </reference>
          <reference field="7" count="1" selected="0">
            <x v="1"/>
          </reference>
        </references>
      </pivotArea>
    </chartFormat>
    <chartFormat chart="7" format="5" series="1">
      <pivotArea type="data" outline="0" fieldPosition="0">
        <references count="2">
          <reference field="4294967294" count="1" selected="0">
            <x v="0"/>
          </reference>
          <reference field="7" count="1" selected="0">
            <x v="2"/>
          </reference>
        </references>
      </pivotArea>
    </chartFormat>
    <chartFormat chart="8" format="6" series="1">
      <pivotArea type="data" outline="0" fieldPosition="0">
        <references count="2">
          <reference field="4294967294" count="1" selected="0">
            <x v="0"/>
          </reference>
          <reference field="7" count="1" selected="0">
            <x v="0"/>
          </reference>
        </references>
      </pivotArea>
    </chartFormat>
    <chartFormat chart="8" format="7" series="1">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187C47-56E8-7241-ACDC-9CF8D74EE64A}" name="PivotTable4"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1" firstHeaderRow="1" firstDataRow="1" firstDataCol="1"/>
  <pivotFields count="20">
    <pivotField showAll="0"/>
    <pivotField showAll="0"/>
    <pivotField showAll="0"/>
    <pivotField showAll="0"/>
    <pivotField showAll="0"/>
    <pivotField showAll="0"/>
    <pivotField axis="axisRow" dataField="1" showAll="0" measureFilter="1" sortType="descending">
      <items count="54">
        <item x="24"/>
        <item x="34"/>
        <item x="20"/>
        <item x="23"/>
        <item x="51"/>
        <item x="40"/>
        <item x="50"/>
        <item x="0"/>
        <item x="3"/>
        <item x="30"/>
        <item x="9"/>
        <item x="49"/>
        <item x="25"/>
        <item x="52"/>
        <item x="4"/>
        <item x="26"/>
        <item x="12"/>
        <item x="19"/>
        <item x="38"/>
        <item x="1"/>
        <item x="14"/>
        <item x="46"/>
        <item x="15"/>
        <item x="47"/>
        <item x="2"/>
        <item x="22"/>
        <item x="21"/>
        <item x="35"/>
        <item x="44"/>
        <item x="13"/>
        <item x="39"/>
        <item x="8"/>
        <item x="32"/>
        <item x="41"/>
        <item x="17"/>
        <item x="7"/>
        <item x="6"/>
        <item x="45"/>
        <item x="37"/>
        <item x="16"/>
        <item x="29"/>
        <item x="33"/>
        <item x="43"/>
        <item x="11"/>
        <item x="27"/>
        <item x="28"/>
        <item x="10"/>
        <item x="5"/>
        <item x="42"/>
        <item x="36"/>
        <item x="18"/>
        <item x="48"/>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8">
    <i>
      <x v="19"/>
    </i>
    <i>
      <x v="8"/>
    </i>
    <i>
      <x v="29"/>
    </i>
    <i>
      <x v="3"/>
    </i>
    <i>
      <x v="39"/>
    </i>
    <i>
      <x v="24"/>
    </i>
    <i>
      <x v="41"/>
    </i>
    <i t="grand">
      <x/>
    </i>
  </rowItems>
  <colItems count="1">
    <i/>
  </colItems>
  <dataFields count="1">
    <dataField name="Count of EXCEEDANCE" fld="6" subtotal="count" baseField="0" baseItem="0"/>
  </dataFields>
  <chartFormats count="16">
    <chartFormat chart="2" format="0"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6" count="1" selected="0">
            <x v="19"/>
          </reference>
        </references>
      </pivotArea>
    </chartFormat>
    <chartFormat chart="6" format="11">
      <pivotArea type="data" outline="0" fieldPosition="0">
        <references count="2">
          <reference field="4294967294" count="1" selected="0">
            <x v="0"/>
          </reference>
          <reference field="6" count="1" selected="0">
            <x v="8"/>
          </reference>
        </references>
      </pivotArea>
    </chartFormat>
    <chartFormat chart="6" format="12">
      <pivotArea type="data" outline="0" fieldPosition="0">
        <references count="2">
          <reference field="4294967294" count="1" selected="0">
            <x v="0"/>
          </reference>
          <reference field="6" count="1" selected="0">
            <x v="29"/>
          </reference>
        </references>
      </pivotArea>
    </chartFormat>
    <chartFormat chart="6" format="13">
      <pivotArea type="data" outline="0" fieldPosition="0">
        <references count="2">
          <reference field="4294967294" count="1" selected="0">
            <x v="0"/>
          </reference>
          <reference field="6" count="1" selected="0">
            <x v="3"/>
          </reference>
        </references>
      </pivotArea>
    </chartFormat>
    <chartFormat chart="6" format="14">
      <pivotArea type="data" outline="0" fieldPosition="0">
        <references count="2">
          <reference field="4294967294" count="1" selected="0">
            <x v="0"/>
          </reference>
          <reference field="6" count="1" selected="0">
            <x v="39"/>
          </reference>
        </references>
      </pivotArea>
    </chartFormat>
    <chartFormat chart="6" format="15">
      <pivotArea type="data" outline="0" fieldPosition="0">
        <references count="2">
          <reference field="4294967294" count="1" selected="0">
            <x v="0"/>
          </reference>
          <reference field="6" count="1" selected="0">
            <x v="24"/>
          </reference>
        </references>
      </pivotArea>
    </chartFormat>
    <chartFormat chart="6" format="16">
      <pivotArea type="data" outline="0" fieldPosition="0">
        <references count="2">
          <reference field="4294967294" count="1" selected="0">
            <x v="0"/>
          </reference>
          <reference field="6" count="1" selected="0">
            <x v="41"/>
          </reference>
        </references>
      </pivotArea>
    </chartFormat>
    <chartFormat chart="2" format="1">
      <pivotArea type="data" outline="0" fieldPosition="0">
        <references count="2">
          <reference field="4294967294" count="1" selected="0">
            <x v="0"/>
          </reference>
          <reference field="6" count="1" selected="0">
            <x v="19"/>
          </reference>
        </references>
      </pivotArea>
    </chartFormat>
    <chartFormat chart="2" format="2">
      <pivotArea type="data" outline="0" fieldPosition="0">
        <references count="2">
          <reference field="4294967294" count="1" selected="0">
            <x v="0"/>
          </reference>
          <reference field="6" count="1" selected="0">
            <x v="8"/>
          </reference>
        </references>
      </pivotArea>
    </chartFormat>
    <chartFormat chart="2" format="3">
      <pivotArea type="data" outline="0" fieldPosition="0">
        <references count="2">
          <reference field="4294967294" count="1" selected="0">
            <x v="0"/>
          </reference>
          <reference field="6" count="1" selected="0">
            <x v="29"/>
          </reference>
        </references>
      </pivotArea>
    </chartFormat>
    <chartFormat chart="2" format="4">
      <pivotArea type="data" outline="0" fieldPosition="0">
        <references count="2">
          <reference field="4294967294" count="1" selected="0">
            <x v="0"/>
          </reference>
          <reference field="6" count="1" selected="0">
            <x v="3"/>
          </reference>
        </references>
      </pivotArea>
    </chartFormat>
    <chartFormat chart="2" format="5">
      <pivotArea type="data" outline="0" fieldPosition="0">
        <references count="2">
          <reference field="4294967294" count="1" selected="0">
            <x v="0"/>
          </reference>
          <reference field="6" count="1" selected="0">
            <x v="39"/>
          </reference>
        </references>
      </pivotArea>
    </chartFormat>
    <chartFormat chart="2" format="6">
      <pivotArea type="data" outline="0" fieldPosition="0">
        <references count="2">
          <reference field="4294967294" count="1" selected="0">
            <x v="0"/>
          </reference>
          <reference field="6" count="1" selected="0">
            <x v="24"/>
          </reference>
        </references>
      </pivotArea>
    </chartFormat>
    <chartFormat chart="2" format="7">
      <pivotArea type="data" outline="0" fieldPosition="0">
        <references count="2">
          <reference field="4294967294" count="1" selected="0">
            <x v="0"/>
          </reference>
          <reference field="6" count="1" selected="0">
            <x v="4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DFC5F-6457-F84D-919A-FDBBBCC6B9C1}" name="PivotTable5"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6" firstHeaderRow="1" firstDataRow="2" firstDataCol="1"/>
  <pivotFields count="20">
    <pivotField showAll="0"/>
    <pivotField axis="axisRow" showAll="0">
      <items count="3">
        <item h="1" x="0"/>
        <item x="1"/>
        <item t="default"/>
      </items>
    </pivotField>
    <pivotField showAll="0"/>
    <pivotField showAll="0"/>
    <pivotField showAll="0"/>
    <pivotField showAll="0"/>
    <pivotField dataField="1"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Fields count="1">
    <field x="7"/>
  </colFields>
  <colItems count="4">
    <i>
      <x/>
    </i>
    <i>
      <x v="1"/>
    </i>
    <i>
      <x v="2"/>
    </i>
    <i t="grand">
      <x/>
    </i>
  </colItems>
  <dataFields count="1">
    <dataField name="Count of EXCEEDANCE" fld="6" subtotal="count" baseField="0" baseItem="0"/>
  </dataFields>
  <chartFormats count="6">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 format="2" series="1">
      <pivotArea type="data" outline="0" fieldPosition="0">
        <references count="2">
          <reference field="4294967294" count="1" selected="0">
            <x v="0"/>
          </reference>
          <reference field="7" count="1" selected="0">
            <x v="2"/>
          </reference>
        </references>
      </pivotArea>
    </chartFormat>
    <chartFormat chart="5"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FBBEE1-82A7-384D-8DF0-28C2A3891579}" name="PivotTable8"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84" firstHeaderRow="1" firstDataRow="1" firstDataCol="1"/>
  <pivotFields count="20">
    <pivotField showAll="0"/>
    <pivotField showAll="0"/>
    <pivotField showAll="0"/>
    <pivotField showAll="0"/>
    <pivotField showAll="0"/>
    <pivotField showAll="0"/>
    <pivotField dataField="1" showAll="0"/>
    <pivotField showAll="0"/>
    <pivotField showAll="0"/>
    <pivotField showAll="0"/>
    <pivotField axis="axisRow" showAll="0" sortType="descending">
      <items count="181">
        <item x="108"/>
        <item x="54"/>
        <item x="29"/>
        <item x="65"/>
        <item x="31"/>
        <item x="30"/>
        <item x="7"/>
        <item x="6"/>
        <item x="52"/>
        <item x="20"/>
        <item x="150"/>
        <item x="106"/>
        <item x="40"/>
        <item x="134"/>
        <item x="45"/>
        <item x="0"/>
        <item x="156"/>
        <item x="119"/>
        <item x="22"/>
        <item x="98"/>
        <item x="129"/>
        <item x="12"/>
        <item x="11"/>
        <item x="154"/>
        <item x="107"/>
        <item x="88"/>
        <item x="141"/>
        <item x="160"/>
        <item x="161"/>
        <item x="177"/>
        <item x="37"/>
        <item x="32"/>
        <item x="121"/>
        <item x="21"/>
        <item x="50"/>
        <item x="49"/>
        <item x="168"/>
        <item x="179"/>
        <item x="166"/>
        <item x="142"/>
        <item x="162"/>
        <item x="76"/>
        <item x="171"/>
        <item x="140"/>
        <item x="170"/>
        <item x="57"/>
        <item x="58"/>
        <item x="59"/>
        <item x="18"/>
        <item x="17"/>
        <item x="79"/>
        <item x="78"/>
        <item x="102"/>
        <item x="126"/>
        <item x="87"/>
        <item x="73"/>
        <item x="133"/>
        <item x="120"/>
        <item x="63"/>
        <item x="61"/>
        <item x="42"/>
        <item x="71"/>
        <item x="155"/>
        <item x="83"/>
        <item x="81"/>
        <item x="82"/>
        <item x="34"/>
        <item x="116"/>
        <item x="84"/>
        <item x="165"/>
        <item x="10"/>
        <item x="138"/>
        <item x="8"/>
        <item x="139"/>
        <item x="97"/>
        <item x="122"/>
        <item x="41"/>
        <item x="158"/>
        <item x="176"/>
        <item x="131"/>
        <item x="157"/>
        <item x="56"/>
        <item x="92"/>
        <item x="167"/>
        <item x="159"/>
        <item x="101"/>
        <item x="109"/>
        <item x="143"/>
        <item x="64"/>
        <item x="51"/>
        <item x="118"/>
        <item x="90"/>
        <item x="68"/>
        <item x="72"/>
        <item x="85"/>
        <item x="43"/>
        <item x="86"/>
        <item x="125"/>
        <item x="114"/>
        <item x="178"/>
        <item x="100"/>
        <item x="95"/>
        <item x="77"/>
        <item x="1"/>
        <item x="70"/>
        <item x="89"/>
        <item x="47"/>
        <item x="46"/>
        <item x="94"/>
        <item x="175"/>
        <item x="153"/>
        <item x="152"/>
        <item x="35"/>
        <item x="151"/>
        <item x="66"/>
        <item x="67"/>
        <item x="5"/>
        <item x="112"/>
        <item x="111"/>
        <item x="130"/>
        <item x="96"/>
        <item x="148"/>
        <item x="174"/>
        <item x="128"/>
        <item x="25"/>
        <item x="26"/>
        <item x="19"/>
        <item x="149"/>
        <item x="169"/>
        <item x="115"/>
        <item x="136"/>
        <item x="9"/>
        <item x="53"/>
        <item x="164"/>
        <item x="74"/>
        <item x="62"/>
        <item x="14"/>
        <item x="13"/>
        <item x="75"/>
        <item x="145"/>
        <item x="137"/>
        <item x="124"/>
        <item x="132"/>
        <item x="172"/>
        <item x="173"/>
        <item x="146"/>
        <item x="99"/>
        <item x="103"/>
        <item x="104"/>
        <item x="69"/>
        <item x="36"/>
        <item x="39"/>
        <item x="38"/>
        <item x="60"/>
        <item x="33"/>
        <item x="28"/>
        <item x="163"/>
        <item x="27"/>
        <item x="80"/>
        <item x="123"/>
        <item x="110"/>
        <item x="93"/>
        <item x="3"/>
        <item x="2"/>
        <item x="135"/>
        <item x="144"/>
        <item x="117"/>
        <item x="4"/>
        <item x="55"/>
        <item x="23"/>
        <item x="24"/>
        <item x="127"/>
        <item x="91"/>
        <item x="15"/>
        <item x="105"/>
        <item x="147"/>
        <item x="113"/>
        <item x="44"/>
        <item x="16"/>
        <item x="4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10"/>
  </rowFields>
  <rowItems count="181">
    <i>
      <x v="52"/>
    </i>
    <i>
      <x v="150"/>
    </i>
    <i>
      <x v="105"/>
    </i>
    <i>
      <x v="171"/>
    </i>
    <i>
      <x v="154"/>
    </i>
    <i>
      <x v="126"/>
    </i>
    <i>
      <x v="29"/>
    </i>
    <i>
      <x v="158"/>
    </i>
    <i>
      <x v="47"/>
    </i>
    <i>
      <x v="174"/>
    </i>
    <i>
      <x v="13"/>
    </i>
    <i>
      <x v="15"/>
    </i>
    <i>
      <x v="76"/>
    </i>
    <i>
      <x v="155"/>
    </i>
    <i>
      <x v="82"/>
    </i>
    <i>
      <x v="170"/>
    </i>
    <i>
      <x v="92"/>
    </i>
    <i>
      <x v="172"/>
    </i>
    <i>
      <x v="178"/>
    </i>
    <i>
      <x v="17"/>
    </i>
    <i>
      <x v="112"/>
    </i>
    <i>
      <x/>
    </i>
    <i>
      <x v="149"/>
    </i>
    <i>
      <x v="117"/>
    </i>
    <i>
      <x v="101"/>
    </i>
    <i>
      <x v="23"/>
    </i>
    <i>
      <x v="133"/>
    </i>
    <i>
      <x v="24"/>
    </i>
    <i>
      <x v="165"/>
    </i>
    <i>
      <x v="25"/>
    </i>
    <i>
      <x v="109"/>
    </i>
    <i>
      <x v="26"/>
    </i>
    <i>
      <x v="125"/>
    </i>
    <i>
      <x v="27"/>
    </i>
    <i>
      <x v="141"/>
    </i>
    <i>
      <x v="28"/>
    </i>
    <i>
      <x v="157"/>
    </i>
    <i>
      <x v="4"/>
    </i>
    <i>
      <x v="173"/>
    </i>
    <i>
      <x v="30"/>
    </i>
    <i>
      <x v="10"/>
    </i>
    <i>
      <x v="31"/>
    </i>
    <i>
      <x v="113"/>
    </i>
    <i>
      <x v="32"/>
    </i>
    <i>
      <x v="121"/>
    </i>
    <i>
      <x v="33"/>
    </i>
    <i>
      <x v="129"/>
    </i>
    <i>
      <x v="34"/>
    </i>
    <i>
      <x v="137"/>
    </i>
    <i>
      <x v="35"/>
    </i>
    <i>
      <x v="145"/>
    </i>
    <i>
      <x v="36"/>
    </i>
    <i>
      <x v="153"/>
    </i>
    <i>
      <x v="37"/>
    </i>
    <i>
      <x v="161"/>
    </i>
    <i>
      <x v="38"/>
    </i>
    <i>
      <x v="169"/>
    </i>
    <i>
      <x v="39"/>
    </i>
    <i>
      <x v="177"/>
    </i>
    <i>
      <x v="40"/>
    </i>
    <i>
      <x v="103"/>
    </i>
    <i>
      <x v="41"/>
    </i>
    <i>
      <x v="107"/>
    </i>
    <i>
      <x v="42"/>
    </i>
    <i>
      <x v="111"/>
    </i>
    <i>
      <x v="43"/>
    </i>
    <i>
      <x v="115"/>
    </i>
    <i>
      <x v="44"/>
    </i>
    <i>
      <x v="119"/>
    </i>
    <i>
      <x v="45"/>
    </i>
    <i>
      <x v="123"/>
    </i>
    <i>
      <x v="46"/>
    </i>
    <i>
      <x v="127"/>
    </i>
    <i>
      <x v="5"/>
    </i>
    <i>
      <x v="131"/>
    </i>
    <i>
      <x v="48"/>
    </i>
    <i>
      <x v="135"/>
    </i>
    <i>
      <x v="49"/>
    </i>
    <i>
      <x v="139"/>
    </i>
    <i>
      <x v="50"/>
    </i>
    <i>
      <x v="143"/>
    </i>
    <i>
      <x v="51"/>
    </i>
    <i>
      <x v="147"/>
    </i>
    <i>
      <x v="6"/>
    </i>
    <i>
      <x v="151"/>
    </i>
    <i>
      <x v="53"/>
    </i>
    <i>
      <x v="2"/>
    </i>
    <i>
      <x v="54"/>
    </i>
    <i>
      <x v="159"/>
    </i>
    <i>
      <x v="55"/>
    </i>
    <i>
      <x v="163"/>
    </i>
    <i>
      <x v="56"/>
    </i>
    <i>
      <x v="167"/>
    </i>
    <i>
      <x v="57"/>
    </i>
    <i>
      <x v="18"/>
    </i>
    <i>
      <x v="58"/>
    </i>
    <i>
      <x v="175"/>
    </i>
    <i>
      <x v="59"/>
    </i>
    <i>
      <x v="22"/>
    </i>
    <i>
      <x v="60"/>
    </i>
    <i>
      <x v="102"/>
    </i>
    <i>
      <x v="61"/>
    </i>
    <i>
      <x v="104"/>
    </i>
    <i>
      <x v="62"/>
    </i>
    <i>
      <x v="106"/>
    </i>
    <i>
      <x v="63"/>
    </i>
    <i>
      <x v="108"/>
    </i>
    <i>
      <x v="64"/>
    </i>
    <i>
      <x v="110"/>
    </i>
    <i>
      <x v="65"/>
    </i>
    <i>
      <x v="11"/>
    </i>
    <i>
      <x v="66"/>
    </i>
    <i>
      <x v="114"/>
    </i>
    <i>
      <x v="67"/>
    </i>
    <i>
      <x v="116"/>
    </i>
    <i>
      <x v="68"/>
    </i>
    <i>
      <x v="118"/>
    </i>
    <i>
      <x v="69"/>
    </i>
    <i>
      <x v="120"/>
    </i>
    <i>
      <x v="70"/>
    </i>
    <i>
      <x v="122"/>
    </i>
    <i>
      <x v="71"/>
    </i>
    <i>
      <x v="124"/>
    </i>
    <i>
      <x v="72"/>
    </i>
    <i>
      <x v="12"/>
    </i>
    <i>
      <x v="73"/>
    </i>
    <i>
      <x v="128"/>
    </i>
    <i>
      <x v="74"/>
    </i>
    <i>
      <x v="130"/>
    </i>
    <i>
      <x v="75"/>
    </i>
    <i>
      <x v="132"/>
    </i>
    <i>
      <x v="7"/>
    </i>
    <i>
      <x v="134"/>
    </i>
    <i>
      <x v="77"/>
    </i>
    <i>
      <x v="136"/>
    </i>
    <i>
      <x v="78"/>
    </i>
    <i>
      <x v="138"/>
    </i>
    <i>
      <x v="79"/>
    </i>
    <i>
      <x v="140"/>
    </i>
    <i>
      <x v="80"/>
    </i>
    <i>
      <x v="142"/>
    </i>
    <i>
      <x v="81"/>
    </i>
    <i>
      <x v="144"/>
    </i>
    <i>
      <x v="8"/>
    </i>
    <i>
      <x v="146"/>
    </i>
    <i>
      <x v="83"/>
    </i>
    <i>
      <x v="148"/>
    </i>
    <i>
      <x v="84"/>
    </i>
    <i>
      <x v="1"/>
    </i>
    <i>
      <x v="85"/>
    </i>
    <i>
      <x v="152"/>
    </i>
    <i>
      <x v="86"/>
    </i>
    <i>
      <x v="14"/>
    </i>
    <i>
      <x v="87"/>
    </i>
    <i>
      <x v="156"/>
    </i>
    <i>
      <x v="88"/>
    </i>
    <i>
      <x v="16"/>
    </i>
    <i>
      <x v="179"/>
    </i>
    <i>
      <x v="160"/>
    </i>
    <i>
      <x v="90"/>
    </i>
    <i>
      <x v="162"/>
    </i>
    <i>
      <x v="91"/>
    </i>
    <i>
      <x v="164"/>
    </i>
    <i>
      <x v="9"/>
    </i>
    <i>
      <x v="166"/>
    </i>
    <i>
      <x v="93"/>
    </i>
    <i>
      <x v="168"/>
    </i>
    <i>
      <x v="94"/>
    </i>
    <i>
      <x v="3"/>
    </i>
    <i>
      <x v="95"/>
    </i>
    <i>
      <x v="19"/>
    </i>
    <i>
      <x v="96"/>
    </i>
    <i>
      <x v="20"/>
    </i>
    <i>
      <x v="97"/>
    </i>
    <i>
      <x v="176"/>
    </i>
    <i>
      <x v="98"/>
    </i>
    <i>
      <x v="21"/>
    </i>
    <i>
      <x v="99"/>
    </i>
    <i>
      <x v="100"/>
    </i>
    <i>
      <x v="89"/>
    </i>
    <i t="grand">
      <x/>
    </i>
  </rowItems>
  <colItems count="1">
    <i/>
  </colItems>
  <dataFields count="1">
    <dataField name="Count of EXCEEDANC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D6360B-36DD-6745-8D0E-D87765B4D18F}" name="PivotTable9"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7" firstHeaderRow="1" firstDataRow="1" firstDataCol="1"/>
  <pivotFields count="2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194">
        <item x="111"/>
        <item x="148"/>
        <item x="74"/>
        <item x="32"/>
        <item x="145"/>
        <item x="173"/>
        <item x="58"/>
        <item x="56"/>
        <item x="48"/>
        <item x="83"/>
        <item x="105"/>
        <item x="95"/>
        <item x="71"/>
        <item x="150"/>
        <item x="65"/>
        <item x="10"/>
        <item x="12"/>
        <item x="11"/>
        <item x="99"/>
        <item x="124"/>
        <item x="112"/>
        <item x="41"/>
        <item x="138"/>
        <item x="101"/>
        <item x="93"/>
        <item x="125"/>
        <item x="46"/>
        <item x="152"/>
        <item x="180"/>
        <item x="184"/>
        <item x="66"/>
        <item x="187"/>
        <item x="44"/>
        <item x="0"/>
        <item x="121"/>
        <item x="153"/>
        <item x="154"/>
        <item x="149"/>
        <item x="190"/>
        <item x="79"/>
        <item x="9"/>
        <item x="47"/>
        <item x="98"/>
        <item x="119"/>
        <item x="67"/>
        <item x="80"/>
        <item x="64"/>
        <item x="5"/>
        <item x="174"/>
        <item x="159"/>
        <item x="192"/>
        <item x="141"/>
        <item x="78"/>
        <item x="104"/>
        <item x="110"/>
        <item x="15"/>
        <item x="94"/>
        <item x="26"/>
        <item x="27"/>
        <item x="120"/>
        <item x="189"/>
        <item x="144"/>
        <item x="168"/>
        <item x="167"/>
        <item x="54"/>
        <item x="127"/>
        <item x="72"/>
        <item x="73"/>
        <item x="136"/>
        <item x="82"/>
        <item x="75"/>
        <item x="135"/>
        <item x="59"/>
        <item x="60"/>
        <item x="61"/>
        <item x="22"/>
        <item x="139"/>
        <item x="35"/>
        <item x="89"/>
        <item x="90"/>
        <item x="183"/>
        <item x="182"/>
        <item x="178"/>
        <item x="63"/>
        <item x="169"/>
        <item x="62"/>
        <item x="140"/>
        <item x="36"/>
        <item x="133"/>
        <item x="37"/>
        <item x="117"/>
        <item x="57"/>
        <item x="3"/>
        <item x="2"/>
        <item x="155"/>
        <item x="177"/>
        <item x="129"/>
        <item x="130"/>
        <item x="51"/>
        <item x="91"/>
        <item x="170"/>
        <item x="17"/>
        <item x="45"/>
        <item x="87"/>
        <item x="85"/>
        <item x="86"/>
        <item x="20"/>
        <item x="88"/>
        <item x="55"/>
        <item x="92"/>
        <item x="179"/>
        <item x="77"/>
        <item x="107"/>
        <item x="134"/>
        <item x="162"/>
        <item x="161"/>
        <item x="160"/>
        <item x="68"/>
        <item x="123"/>
        <item x="7"/>
        <item x="126"/>
        <item x="6"/>
        <item x="114"/>
        <item x="157"/>
        <item x="175"/>
        <item x="53"/>
        <item x="52"/>
        <item x="38"/>
        <item x="185"/>
        <item x="186"/>
        <item x="131"/>
        <item x="165"/>
        <item x="29"/>
        <item x="28"/>
        <item x="84"/>
        <item x="108"/>
        <item x="103"/>
        <item x="16"/>
        <item x="21"/>
        <item x="81"/>
        <item x="4"/>
        <item x="115"/>
        <item x="69"/>
        <item x="156"/>
        <item x="19"/>
        <item x="18"/>
        <item x="43"/>
        <item x="23"/>
        <item x="146"/>
        <item x="40"/>
        <item x="39"/>
        <item x="181"/>
        <item x="147"/>
        <item x="137"/>
        <item x="188"/>
        <item x="191"/>
        <item x="76"/>
        <item x="96"/>
        <item x="42"/>
        <item x="97"/>
        <item x="132"/>
        <item x="30"/>
        <item x="106"/>
        <item x="50"/>
        <item x="49"/>
        <item x="171"/>
        <item x="172"/>
        <item x="118"/>
        <item x="109"/>
        <item x="1"/>
        <item x="113"/>
        <item x="100"/>
        <item x="31"/>
        <item x="176"/>
        <item x="14"/>
        <item x="166"/>
        <item x="13"/>
        <item x="128"/>
        <item x="70"/>
        <item x="158"/>
        <item x="151"/>
        <item x="142"/>
        <item x="33"/>
        <item x="164"/>
        <item x="34"/>
        <item x="102"/>
        <item x="122"/>
        <item x="116"/>
        <item x="8"/>
        <item x="163"/>
        <item x="143"/>
        <item x="24"/>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94">
    <i>
      <x v="140"/>
    </i>
    <i>
      <x v="182"/>
    </i>
    <i>
      <x v="119"/>
    </i>
    <i>
      <x v="91"/>
    </i>
    <i>
      <x v="20"/>
    </i>
    <i>
      <x v="7"/>
    </i>
    <i>
      <x v="121"/>
    </i>
    <i>
      <x v="64"/>
    </i>
    <i>
      <x v="184"/>
    </i>
    <i>
      <x v="66"/>
    </i>
    <i>
      <x v="192"/>
    </i>
    <i>
      <x v="138"/>
    </i>
    <i>
      <x v="106"/>
    </i>
    <i>
      <x v="170"/>
    </i>
    <i>
      <x v="12"/>
    </i>
    <i>
      <x v="122"/>
    </i>
    <i>
      <x v="13"/>
    </i>
    <i>
      <x v="154"/>
    </i>
    <i>
      <x v="14"/>
    </i>
    <i>
      <x v="186"/>
    </i>
    <i>
      <x v="15"/>
    </i>
    <i>
      <x v="114"/>
    </i>
    <i>
      <x v="16"/>
    </i>
    <i>
      <x v="130"/>
    </i>
    <i>
      <x v="17"/>
    </i>
    <i>
      <x v="146"/>
    </i>
    <i>
      <x v="18"/>
    </i>
    <i>
      <x v="162"/>
    </i>
    <i>
      <x v="19"/>
    </i>
    <i>
      <x v="178"/>
    </i>
    <i>
      <x v="2"/>
    </i>
    <i>
      <x v="102"/>
    </i>
    <i>
      <x v="21"/>
    </i>
    <i>
      <x v="110"/>
    </i>
    <i>
      <x v="22"/>
    </i>
    <i>
      <x v="118"/>
    </i>
    <i>
      <x v="23"/>
    </i>
    <i>
      <x v="126"/>
    </i>
    <i>
      <x v="24"/>
    </i>
    <i>
      <x v="134"/>
    </i>
    <i>
      <x v="25"/>
    </i>
    <i>
      <x v="142"/>
    </i>
    <i>
      <x v="26"/>
    </i>
    <i>
      <x v="150"/>
    </i>
    <i>
      <x v="27"/>
    </i>
    <i>
      <x v="158"/>
    </i>
    <i>
      <x v="28"/>
    </i>
    <i>
      <x v="166"/>
    </i>
    <i>
      <x v="29"/>
    </i>
    <i>
      <x v="174"/>
    </i>
    <i>
      <x v="30"/>
    </i>
    <i>
      <x v="9"/>
    </i>
    <i>
      <x v="31"/>
    </i>
    <i>
      <x v="190"/>
    </i>
    <i>
      <x v="32"/>
    </i>
    <i>
      <x v="104"/>
    </i>
    <i>
      <x v="33"/>
    </i>
    <i>
      <x v="108"/>
    </i>
    <i>
      <x v="34"/>
    </i>
    <i>
      <x v="112"/>
    </i>
    <i>
      <x v="35"/>
    </i>
    <i>
      <x v="116"/>
    </i>
    <i>
      <x v="36"/>
    </i>
    <i>
      <x v="120"/>
    </i>
    <i>
      <x v="37"/>
    </i>
    <i>
      <x v="124"/>
    </i>
    <i>
      <x v="38"/>
    </i>
    <i>
      <x v="128"/>
    </i>
    <i>
      <x v="39"/>
    </i>
    <i>
      <x v="132"/>
    </i>
    <i>
      <x v="40"/>
    </i>
    <i>
      <x v="136"/>
    </i>
    <i>
      <x v="41"/>
    </i>
    <i>
      <x v="8"/>
    </i>
    <i>
      <x v="42"/>
    </i>
    <i>
      <x v="144"/>
    </i>
    <i>
      <x v="43"/>
    </i>
    <i>
      <x v="148"/>
    </i>
    <i>
      <x v="44"/>
    </i>
    <i>
      <x v="152"/>
    </i>
    <i>
      <x v="45"/>
    </i>
    <i>
      <x v="156"/>
    </i>
    <i>
      <x v="46"/>
    </i>
    <i>
      <x v="160"/>
    </i>
    <i>
      <x v="47"/>
    </i>
    <i>
      <x v="164"/>
    </i>
    <i>
      <x v="48"/>
    </i>
    <i>
      <x v="168"/>
    </i>
    <i>
      <x v="49"/>
    </i>
    <i>
      <x v="172"/>
    </i>
    <i>
      <x v="50"/>
    </i>
    <i>
      <x v="176"/>
    </i>
    <i>
      <x v="51"/>
    </i>
    <i>
      <x v="180"/>
    </i>
    <i>
      <x v="52"/>
    </i>
    <i>
      <x v="10"/>
    </i>
    <i>
      <x v="53"/>
    </i>
    <i>
      <x v="188"/>
    </i>
    <i>
      <x v="54"/>
    </i>
    <i>
      <x v="101"/>
    </i>
    <i>
      <x v="55"/>
    </i>
    <i>
      <x v="103"/>
    </i>
    <i>
      <x v="56"/>
    </i>
    <i>
      <x v="105"/>
    </i>
    <i>
      <x v="57"/>
    </i>
    <i>
      <x v="107"/>
    </i>
    <i>
      <x v="58"/>
    </i>
    <i>
      <x v="109"/>
    </i>
    <i>
      <x v="59"/>
    </i>
    <i>
      <x v="111"/>
    </i>
    <i>
      <x v="60"/>
    </i>
    <i>
      <x v="113"/>
    </i>
    <i>
      <x v="61"/>
    </i>
    <i>
      <x v="115"/>
    </i>
    <i>
      <x v="62"/>
    </i>
    <i>
      <x v="117"/>
    </i>
    <i>
      <x v="63"/>
    </i>
    <i>
      <x v="6"/>
    </i>
    <i>
      <x v="3"/>
    </i>
    <i>
      <x v="1"/>
    </i>
    <i>
      <x v="65"/>
    </i>
    <i>
      <x v="123"/>
    </i>
    <i>
      <x v="4"/>
    </i>
    <i>
      <x v="125"/>
    </i>
    <i>
      <x v="67"/>
    </i>
    <i>
      <x v="127"/>
    </i>
    <i>
      <x v="68"/>
    </i>
    <i>
      <x v="129"/>
    </i>
    <i>
      <x v="69"/>
    </i>
    <i>
      <x v="131"/>
    </i>
    <i>
      <x v="70"/>
    </i>
    <i>
      <x v="133"/>
    </i>
    <i>
      <x v="71"/>
    </i>
    <i>
      <x v="135"/>
    </i>
    <i>
      <x v="72"/>
    </i>
    <i>
      <x v="137"/>
    </i>
    <i>
      <x v="73"/>
    </i>
    <i>
      <x v="139"/>
    </i>
    <i>
      <x v="74"/>
    </i>
    <i>
      <x v="141"/>
    </i>
    <i>
      <x v="75"/>
    </i>
    <i>
      <x v="143"/>
    </i>
    <i>
      <x v="76"/>
    </i>
    <i>
      <x v="145"/>
    </i>
    <i>
      <x v="77"/>
    </i>
    <i>
      <x v="147"/>
    </i>
    <i>
      <x v="78"/>
    </i>
    <i>
      <x v="149"/>
    </i>
    <i>
      <x v="79"/>
    </i>
    <i>
      <x v="151"/>
    </i>
    <i>
      <x v="80"/>
    </i>
    <i>
      <x v="153"/>
    </i>
    <i>
      <x v="81"/>
    </i>
    <i>
      <x v="155"/>
    </i>
    <i>
      <x v="82"/>
    </i>
    <i>
      <x v="157"/>
    </i>
    <i>
      <x v="83"/>
    </i>
    <i>
      <x v="159"/>
    </i>
    <i>
      <x v="84"/>
    </i>
    <i>
      <x v="161"/>
    </i>
    <i>
      <x v="85"/>
    </i>
    <i>
      <x v="163"/>
    </i>
    <i>
      <x v="86"/>
    </i>
    <i>
      <x v="165"/>
    </i>
    <i>
      <x v="87"/>
    </i>
    <i>
      <x v="167"/>
    </i>
    <i>
      <x v="88"/>
    </i>
    <i>
      <x v="169"/>
    </i>
    <i>
      <x v="89"/>
    </i>
    <i>
      <x v="171"/>
    </i>
    <i>
      <x v="90"/>
    </i>
    <i>
      <x v="173"/>
    </i>
    <i>
      <x v="5"/>
    </i>
    <i>
      <x v="175"/>
    </i>
    <i>
      <x v="92"/>
    </i>
    <i>
      <x v="177"/>
    </i>
    <i>
      <x v="93"/>
    </i>
    <i>
      <x v="179"/>
    </i>
    <i>
      <x v="94"/>
    </i>
    <i>
      <x v="181"/>
    </i>
    <i>
      <x v="191"/>
    </i>
    <i>
      <x v="183"/>
    </i>
    <i>
      <x/>
    </i>
    <i>
      <x v="185"/>
    </i>
    <i>
      <x v="97"/>
    </i>
    <i>
      <x v="187"/>
    </i>
    <i>
      <x v="98"/>
    </i>
    <i>
      <x v="189"/>
    </i>
    <i>
      <x v="99"/>
    </i>
    <i>
      <x v="11"/>
    </i>
    <i>
      <x v="100"/>
    </i>
    <i>
      <x v="95"/>
    </i>
    <i>
      <x v="96"/>
    </i>
    <i t="grand">
      <x/>
    </i>
  </rowItems>
  <colItems count="1">
    <i/>
  </colItems>
  <dataFields count="1">
    <dataField name="Count of EXCEEDANC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A2A050-C081-134B-9CCF-E01F41EC44AD}" name="PivotTable10"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1" firstHeaderRow="1" firstDataRow="1" firstDataCol="1"/>
  <pivotFields count="20">
    <pivotField showAll="0"/>
    <pivotField showAll="0"/>
    <pivotField showAll="0"/>
    <pivotField axis="axisRow" showAll="0">
      <items count="28">
        <item x="13"/>
        <item x="5"/>
        <item x="24"/>
        <item x="12"/>
        <item x="9"/>
        <item x="7"/>
        <item x="10"/>
        <item x="22"/>
        <item x="19"/>
        <item x="23"/>
        <item x="2"/>
        <item x="17"/>
        <item x="3"/>
        <item x="6"/>
        <item x="4"/>
        <item x="16"/>
        <item x="14"/>
        <item x="18"/>
        <item x="15"/>
        <item x="20"/>
        <item x="25"/>
        <item x="26"/>
        <item x="21"/>
        <item x="1"/>
        <item x="8"/>
        <item x="0"/>
        <item x="11"/>
        <item t="default"/>
      </items>
    </pivotField>
    <pivotField showAll="0"/>
    <pivotField showAll="0"/>
    <pivotField axis="axisRow" dataField="1" showAll="0">
      <items count="54">
        <item x="24"/>
        <item x="34"/>
        <item x="20"/>
        <item x="23"/>
        <item x="51"/>
        <item x="40"/>
        <item x="50"/>
        <item x="0"/>
        <item x="3"/>
        <item x="30"/>
        <item x="9"/>
        <item x="49"/>
        <item x="25"/>
        <item x="52"/>
        <item x="4"/>
        <item x="26"/>
        <item x="12"/>
        <item x="19"/>
        <item x="38"/>
        <item x="1"/>
        <item x="14"/>
        <item x="46"/>
        <item x="15"/>
        <item x="47"/>
        <item x="2"/>
        <item x="22"/>
        <item x="21"/>
        <item x="35"/>
        <item x="44"/>
        <item x="13"/>
        <item x="39"/>
        <item x="8"/>
        <item x="32"/>
        <item x="41"/>
        <item x="17"/>
        <item x="7"/>
        <item x="6"/>
        <item x="45"/>
        <item x="37"/>
        <item x="16"/>
        <item x="29"/>
        <item x="33"/>
        <item x="43"/>
        <item x="11"/>
        <item x="27"/>
        <item x="28"/>
        <item x="10"/>
        <item x="5"/>
        <item x="42"/>
        <item x="36"/>
        <item x="18"/>
        <item x="48"/>
        <item x="31"/>
        <item t="default"/>
      </items>
    </pivotField>
    <pivotField showAll="0"/>
    <pivotField showAll="0"/>
    <pivotField showAll="0"/>
    <pivotField showAll="0"/>
    <pivotField showAll="0"/>
    <pivotField showAll="0">
      <items count="141">
        <item x="63"/>
        <item x="138"/>
        <item x="128"/>
        <item x="76"/>
        <item x="117"/>
        <item x="30"/>
        <item x="65"/>
        <item x="48"/>
        <item x="8"/>
        <item x="101"/>
        <item x="79"/>
        <item x="39"/>
        <item x="124"/>
        <item x="118"/>
        <item x="67"/>
        <item x="29"/>
        <item x="95"/>
        <item x="132"/>
        <item x="110"/>
        <item x="105"/>
        <item x="131"/>
        <item x="38"/>
        <item x="139"/>
        <item x="22"/>
        <item x="23"/>
        <item x="111"/>
        <item x="103"/>
        <item x="18"/>
        <item x="17"/>
        <item x="123"/>
        <item x="54"/>
        <item x="91"/>
        <item x="24"/>
        <item x="25"/>
        <item x="53"/>
        <item x="42"/>
        <item x="41"/>
        <item x="75"/>
        <item x="80"/>
        <item x="81"/>
        <item x="57"/>
        <item x="61"/>
        <item x="78"/>
        <item x="62"/>
        <item x="106"/>
        <item x="114"/>
        <item x="96"/>
        <item x="92"/>
        <item x="125"/>
        <item x="116"/>
        <item x="40"/>
        <item x="55"/>
        <item x="14"/>
        <item x="68"/>
        <item x="16"/>
        <item x="126"/>
        <item x="46"/>
        <item x="108"/>
        <item x="4"/>
        <item x="133"/>
        <item x="121"/>
        <item x="134"/>
        <item x="122"/>
        <item x="13"/>
        <item x="85"/>
        <item x="15"/>
        <item x="34"/>
        <item x="10"/>
        <item x="115"/>
        <item x="70"/>
        <item x="82"/>
        <item x="72"/>
        <item x="87"/>
        <item x="33"/>
        <item x="69"/>
        <item x="137"/>
        <item x="74"/>
        <item x="49"/>
        <item x="97"/>
        <item x="93"/>
        <item x="99"/>
        <item x="35"/>
        <item x="5"/>
        <item x="120"/>
        <item x="12"/>
        <item x="20"/>
        <item x="119"/>
        <item x="11"/>
        <item x="7"/>
        <item x="6"/>
        <item x="77"/>
        <item x="58"/>
        <item x="47"/>
        <item x="127"/>
        <item x="88"/>
        <item x="104"/>
        <item x="37"/>
        <item x="36"/>
        <item x="56"/>
        <item x="98"/>
        <item x="45"/>
        <item x="44"/>
        <item x="43"/>
        <item x="71"/>
        <item x="64"/>
        <item x="59"/>
        <item x="102"/>
        <item x="113"/>
        <item x="135"/>
        <item x="60"/>
        <item x="3"/>
        <item x="130"/>
        <item x="50"/>
        <item x="51"/>
        <item x="2"/>
        <item x="52"/>
        <item x="73"/>
        <item x="100"/>
        <item x="129"/>
        <item x="9"/>
        <item x="86"/>
        <item x="84"/>
        <item x="136"/>
        <item x="28"/>
        <item x="66"/>
        <item x="112"/>
        <item x="107"/>
        <item x="19"/>
        <item x="94"/>
        <item x="0"/>
        <item x="1"/>
        <item x="31"/>
        <item x="89"/>
        <item x="90"/>
        <item x="21"/>
        <item x="109"/>
        <item x="32"/>
        <item x="27"/>
        <item x="26"/>
        <item x="83"/>
        <item t="default"/>
      </items>
    </pivotField>
    <pivotField showAll="0"/>
    <pivotField showAll="0"/>
    <pivotField showAll="0"/>
    <pivotField showAll="0"/>
    <pivotField showAll="0"/>
    <pivotField showAll="0"/>
    <pivotField showAll="0"/>
  </pivotFields>
  <rowFields count="2">
    <field x="3"/>
    <field x="6"/>
  </rowFields>
  <rowItems count="168">
    <i>
      <x/>
    </i>
    <i r="1">
      <x v="3"/>
    </i>
    <i r="1">
      <x v="4"/>
    </i>
    <i r="1">
      <x v="14"/>
    </i>
    <i r="1">
      <x v="19"/>
    </i>
    <i r="1">
      <x v="31"/>
    </i>
    <i r="1">
      <x v="34"/>
    </i>
    <i r="1">
      <x v="36"/>
    </i>
    <i r="1">
      <x v="39"/>
    </i>
    <i>
      <x v="1"/>
    </i>
    <i r="1">
      <x v="8"/>
    </i>
    <i>
      <x v="2"/>
    </i>
    <i r="1">
      <x v="19"/>
    </i>
    <i>
      <x v="3"/>
    </i>
    <i r="1">
      <x v="1"/>
    </i>
    <i r="1">
      <x v="8"/>
    </i>
    <i r="1">
      <x v="14"/>
    </i>
    <i r="1">
      <x v="33"/>
    </i>
    <i r="1">
      <x v="34"/>
    </i>
    <i r="1">
      <x v="39"/>
    </i>
    <i r="1">
      <x v="41"/>
    </i>
    <i>
      <x v="4"/>
    </i>
    <i r="1">
      <x/>
    </i>
    <i r="1">
      <x v="1"/>
    </i>
    <i r="1">
      <x v="2"/>
    </i>
    <i r="1">
      <x v="3"/>
    </i>
    <i r="1">
      <x v="8"/>
    </i>
    <i r="1">
      <x v="13"/>
    </i>
    <i r="1">
      <x v="16"/>
    </i>
    <i r="1">
      <x v="29"/>
    </i>
    <i r="1">
      <x v="33"/>
    </i>
    <i r="1">
      <x v="48"/>
    </i>
    <i>
      <x v="5"/>
    </i>
    <i r="1">
      <x v="8"/>
    </i>
    <i r="1">
      <x v="24"/>
    </i>
    <i r="1">
      <x v="30"/>
    </i>
    <i>
      <x v="6"/>
    </i>
    <i r="1">
      <x v="8"/>
    </i>
    <i r="1">
      <x v="19"/>
    </i>
    <i r="1">
      <x v="20"/>
    </i>
    <i r="1">
      <x v="22"/>
    </i>
    <i r="1">
      <x v="24"/>
    </i>
    <i r="1">
      <x v="25"/>
    </i>
    <i r="1">
      <x v="26"/>
    </i>
    <i r="1">
      <x v="31"/>
    </i>
    <i r="1">
      <x v="40"/>
    </i>
    <i>
      <x v="7"/>
    </i>
    <i r="1">
      <x v="19"/>
    </i>
    <i>
      <x v="8"/>
    </i>
    <i r="1">
      <x v="19"/>
    </i>
    <i r="1">
      <x v="29"/>
    </i>
    <i r="1">
      <x v="31"/>
    </i>
    <i r="1">
      <x v="39"/>
    </i>
    <i r="1">
      <x v="47"/>
    </i>
    <i>
      <x v="9"/>
    </i>
    <i r="1">
      <x v="8"/>
    </i>
    <i r="1">
      <x v="17"/>
    </i>
    <i r="1">
      <x v="18"/>
    </i>
    <i r="1">
      <x v="51"/>
    </i>
    <i>
      <x v="10"/>
    </i>
    <i r="1">
      <x/>
    </i>
    <i r="1">
      <x v="2"/>
    </i>
    <i r="1">
      <x v="3"/>
    </i>
    <i r="1">
      <x v="8"/>
    </i>
    <i r="1">
      <x v="9"/>
    </i>
    <i r="1">
      <x v="10"/>
    </i>
    <i r="1">
      <x v="11"/>
    </i>
    <i r="1">
      <x v="14"/>
    </i>
    <i r="1">
      <x v="17"/>
    </i>
    <i r="1">
      <x v="19"/>
    </i>
    <i r="1">
      <x v="20"/>
    </i>
    <i r="1">
      <x v="21"/>
    </i>
    <i r="1">
      <x v="22"/>
    </i>
    <i r="1">
      <x v="23"/>
    </i>
    <i r="1">
      <x v="24"/>
    </i>
    <i r="1">
      <x v="29"/>
    </i>
    <i r="1">
      <x v="31"/>
    </i>
    <i r="1">
      <x v="34"/>
    </i>
    <i r="1">
      <x v="36"/>
    </i>
    <i r="1">
      <x v="37"/>
    </i>
    <i r="1">
      <x v="39"/>
    </i>
    <i r="1">
      <x v="40"/>
    </i>
    <i r="1">
      <x v="41"/>
    </i>
    <i r="1">
      <x v="49"/>
    </i>
    <i r="1">
      <x v="50"/>
    </i>
    <i r="1">
      <x v="52"/>
    </i>
    <i>
      <x v="11"/>
    </i>
    <i r="1">
      <x v="6"/>
    </i>
    <i r="1">
      <x v="7"/>
    </i>
    <i r="1">
      <x v="12"/>
    </i>
    <i r="1">
      <x v="19"/>
    </i>
    <i r="1">
      <x v="30"/>
    </i>
    <i r="1">
      <x v="31"/>
    </i>
    <i>
      <x v="12"/>
    </i>
    <i r="1">
      <x v="8"/>
    </i>
    <i r="1">
      <x v="14"/>
    </i>
    <i>
      <x v="13"/>
    </i>
    <i r="1">
      <x v="1"/>
    </i>
    <i r="1">
      <x v="8"/>
    </i>
    <i r="1">
      <x v="19"/>
    </i>
    <i r="1">
      <x v="33"/>
    </i>
    <i r="1">
      <x v="35"/>
    </i>
    <i>
      <x v="14"/>
    </i>
    <i r="1">
      <x v="8"/>
    </i>
    <i r="1">
      <x v="24"/>
    </i>
    <i r="1">
      <x v="29"/>
    </i>
    <i>
      <x v="15"/>
    </i>
    <i r="1">
      <x v="15"/>
    </i>
    <i r="1">
      <x v="19"/>
    </i>
    <i r="1">
      <x v="41"/>
    </i>
    <i r="1">
      <x v="47"/>
    </i>
    <i r="1">
      <x v="49"/>
    </i>
    <i>
      <x v="16"/>
    </i>
    <i r="1">
      <x v="17"/>
    </i>
    <i r="1">
      <x v="19"/>
    </i>
    <i>
      <x v="17"/>
    </i>
    <i r="1">
      <x v="19"/>
    </i>
    <i r="1">
      <x v="33"/>
    </i>
    <i>
      <x v="18"/>
    </i>
    <i r="1">
      <x/>
    </i>
    <i r="1">
      <x v="3"/>
    </i>
    <i r="1">
      <x v="19"/>
    </i>
    <i r="1">
      <x v="32"/>
    </i>
    <i>
      <x v="19"/>
    </i>
    <i r="1">
      <x v="45"/>
    </i>
    <i r="1">
      <x v="46"/>
    </i>
    <i>
      <x v="20"/>
    </i>
    <i r="1">
      <x v="3"/>
    </i>
    <i>
      <x v="21"/>
    </i>
    <i r="1">
      <x v="28"/>
    </i>
    <i r="1">
      <x v="29"/>
    </i>
    <i>
      <x v="22"/>
    </i>
    <i r="1">
      <x v="44"/>
    </i>
    <i>
      <x v="23"/>
    </i>
    <i r="1">
      <x v="8"/>
    </i>
    <i r="1">
      <x v="19"/>
    </i>
    <i r="1">
      <x v="20"/>
    </i>
    <i r="1">
      <x v="22"/>
    </i>
    <i r="1">
      <x v="24"/>
    </i>
    <i r="1">
      <x v="29"/>
    </i>
    <i r="1">
      <x v="31"/>
    </i>
    <i r="1">
      <x v="39"/>
    </i>
    <i r="1">
      <x v="46"/>
    </i>
    <i r="1">
      <x v="47"/>
    </i>
    <i>
      <x v="24"/>
    </i>
    <i r="1">
      <x v="27"/>
    </i>
    <i r="1">
      <x v="29"/>
    </i>
    <i r="1">
      <x v="32"/>
    </i>
    <i r="1">
      <x v="39"/>
    </i>
    <i r="1">
      <x v="40"/>
    </i>
    <i r="1">
      <x v="41"/>
    </i>
    <i r="1">
      <x v="42"/>
    </i>
    <i r="1">
      <x v="46"/>
    </i>
    <i>
      <x v="25"/>
    </i>
    <i r="1">
      <x v="5"/>
    </i>
    <i r="1">
      <x v="7"/>
    </i>
    <i r="1">
      <x v="19"/>
    </i>
    <i r="1">
      <x v="29"/>
    </i>
    <i r="1">
      <x v="38"/>
    </i>
    <i r="1">
      <x v="41"/>
    </i>
    <i r="1">
      <x v="43"/>
    </i>
    <i r="1">
      <x v="46"/>
    </i>
    <i r="1">
      <x v="50"/>
    </i>
    <i>
      <x v="26"/>
    </i>
    <i r="1">
      <x v="8"/>
    </i>
    <i r="1">
      <x v="24"/>
    </i>
    <i r="1">
      <x v="40"/>
    </i>
    <i t="grand">
      <x/>
    </i>
  </rowItems>
  <colItems count="1">
    <i/>
  </colItems>
  <dataFields count="1">
    <dataField name="Count of EXCEEDANC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_of_Exceedance" xr10:uid="{851A301F-C5AA-FE48-B9F5-B3871CC86C86}" sourceName="Place of Exceedance">
  <pivotTables>
    <pivotTable tabId="7" name="PivotTable3"/>
  </pivotTables>
  <data>
    <tabular pivotCacheId="705495201">
      <items count="27">
        <i x="13" s="1"/>
        <i x="5"/>
        <i x="24"/>
        <i x="12"/>
        <i x="9"/>
        <i x="7"/>
        <i x="10"/>
        <i x="22"/>
        <i x="19"/>
        <i x="23"/>
        <i x="2"/>
        <i x="17"/>
        <i x="3"/>
        <i x="6"/>
        <i x="4"/>
        <i x="16"/>
        <i x="14"/>
        <i x="18"/>
        <i x="15"/>
        <i x="20"/>
        <i x="25"/>
        <i x="26"/>
        <i x="21"/>
        <i x="1"/>
        <i x="8"/>
        <i x="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3938611-371A-B34D-89BF-01B15B91A2F3}" sourceName="Quarter">
  <pivotTables>
    <pivotTable tabId="10" name="PivotTable5"/>
  </pivotTables>
  <data>
    <tabular pivotCacheId="705495201">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of Exceedance" xr10:uid="{5D1B44F1-4848-7049-BB2E-FE19B0B3720E}" cache="Slicer_Place_of_Exceedance" caption="Place of Exceedanc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of Exceedance 1" xr10:uid="{87F3B548-B061-9B49-BE01-24D7ED563F4B}" cache="Slicer_Place_of_Exceedance" caption="Place of Exceedance" rowHeight="230716"/>
  <slicer name="Quarter 1" xr10:uid="{333FB6B7-E8D7-6F44-B933-2DEE638F205D}" cache="Slicer_Quarter" caption="Quarter"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6ADD784A-FC23-7F43-91C9-C198BE8158CA}" cache="Slicer_Quarter" caption="Quarter"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M1048558"/>
  <sheetViews>
    <sheetView topLeftCell="O1" zoomScaleNormal="100" zoomScaleSheetLayoutView="100" workbookViewId="0">
      <pane ySplit="1" topLeftCell="A2" activePane="bottomLeft" state="frozen"/>
      <selection pane="bottomLeft" activeCell="C2" sqref="C2:C422"/>
    </sheetView>
  </sheetViews>
  <sheetFormatPr baseColWidth="10" defaultColWidth="9.1640625" defaultRowHeight="15" x14ac:dyDescent="0.2"/>
  <cols>
    <col min="1" max="1" width="5.83203125" style="8" bestFit="1" customWidth="1"/>
    <col min="2" max="2" width="9.5" style="8" customWidth="1"/>
    <col min="3" max="3" width="18.5" style="8" bestFit="1" customWidth="1"/>
    <col min="4" max="4" width="8.1640625" style="8" bestFit="1" customWidth="1"/>
    <col min="5" max="5" width="12.5" style="8" bestFit="1" customWidth="1"/>
    <col min="6" max="6" width="12.33203125" style="8" bestFit="1" customWidth="1"/>
    <col min="7" max="7" width="36" style="8" bestFit="1" customWidth="1"/>
    <col min="8" max="8" width="41.33203125" style="8" bestFit="1" customWidth="1"/>
    <col min="9" max="9" width="38.5" style="8" customWidth="1"/>
    <col min="10" max="10" width="10.5" style="8" bestFit="1" customWidth="1"/>
    <col min="11" max="11" width="39.6640625" style="8" customWidth="1"/>
    <col min="12" max="12" width="10" style="8" bestFit="1" customWidth="1"/>
    <col min="13" max="13" width="9.5" style="8" bestFit="1" customWidth="1"/>
    <col min="14" max="14" width="10.33203125" style="8" bestFit="1" customWidth="1"/>
    <col min="15" max="15" width="20.5" style="8" customWidth="1"/>
    <col min="16" max="16" width="14.83203125" style="8" customWidth="1"/>
    <col min="17" max="17" width="20.6640625" style="8" customWidth="1"/>
    <col min="18" max="18" width="26" style="8" bestFit="1" customWidth="1"/>
    <col min="19" max="19" width="20" style="8" customWidth="1"/>
    <col min="20" max="20" width="14.5" style="8" bestFit="1" customWidth="1"/>
    <col min="21" max="21" width="16.83203125" style="8" bestFit="1" customWidth="1"/>
    <col min="22" max="22" width="14" style="8" bestFit="1" customWidth="1"/>
    <col min="23" max="23" width="8.83203125" style="8" customWidth="1"/>
    <col min="24" max="24" width="75" style="8" customWidth="1"/>
    <col min="25" max="25" width="52.6640625" style="13" customWidth="1"/>
    <col min="26" max="26" width="10.1640625" style="8" bestFit="1" customWidth="1"/>
    <col min="27" max="27" width="12.1640625" style="8" hidden="1" customWidth="1"/>
    <col min="28" max="28" width="17.5" style="8" hidden="1" customWidth="1"/>
    <col min="29" max="16384" width="9.1640625" style="8"/>
  </cols>
  <sheetData>
    <row r="1" spans="1:39" ht="49.5" customHeight="1" x14ac:dyDescent="0.2">
      <c r="A1" s="1" t="s">
        <v>0</v>
      </c>
      <c r="B1" s="1" t="s">
        <v>109</v>
      </c>
      <c r="C1" s="1" t="s">
        <v>1</v>
      </c>
      <c r="D1" s="1" t="s">
        <v>2</v>
      </c>
      <c r="E1" s="2" t="s">
        <v>3</v>
      </c>
      <c r="F1" s="2" t="s">
        <v>4</v>
      </c>
      <c r="G1" s="2" t="s">
        <v>5</v>
      </c>
      <c r="H1" s="2" t="s">
        <v>6</v>
      </c>
      <c r="I1" s="2" t="s">
        <v>7</v>
      </c>
      <c r="J1" s="2" t="s">
        <v>8</v>
      </c>
      <c r="K1" s="2" t="s">
        <v>9</v>
      </c>
      <c r="L1" s="2" t="s">
        <v>10</v>
      </c>
      <c r="M1" s="1" t="s">
        <v>11</v>
      </c>
      <c r="N1" s="1" t="s">
        <v>12</v>
      </c>
      <c r="O1" s="2" t="s">
        <v>13</v>
      </c>
      <c r="P1" s="17" t="s">
        <v>14</v>
      </c>
      <c r="Q1" s="2" t="s">
        <v>15</v>
      </c>
      <c r="R1" s="2" t="s">
        <v>16</v>
      </c>
      <c r="S1" s="2" t="s">
        <v>175</v>
      </c>
      <c r="T1" s="2" t="s">
        <v>85</v>
      </c>
      <c r="U1" s="2" t="s">
        <v>17</v>
      </c>
      <c r="V1" s="18" t="s">
        <v>18</v>
      </c>
      <c r="W1" s="2" t="s">
        <v>19</v>
      </c>
      <c r="X1" s="2" t="s">
        <v>20</v>
      </c>
      <c r="Y1" s="19" t="s">
        <v>21</v>
      </c>
      <c r="Z1" s="17" t="s">
        <v>22</v>
      </c>
      <c r="AA1" s="17" t="s">
        <v>23</v>
      </c>
      <c r="AB1" s="17" t="s">
        <v>29</v>
      </c>
    </row>
    <row r="2" spans="1:39" ht="15" customHeight="1" x14ac:dyDescent="0.2">
      <c r="A2" s="8">
        <v>1</v>
      </c>
      <c r="B2" s="8">
        <v>7674</v>
      </c>
      <c r="C2" s="14">
        <v>45658</v>
      </c>
      <c r="D2" s="8" t="s">
        <v>48</v>
      </c>
      <c r="E2" s="8" t="s">
        <v>110</v>
      </c>
      <c r="F2" s="8" t="s">
        <v>111</v>
      </c>
      <c r="G2" s="8" t="s">
        <v>112</v>
      </c>
      <c r="H2" s="8" t="s">
        <v>113</v>
      </c>
      <c r="I2" s="8" t="s">
        <v>114</v>
      </c>
      <c r="J2" s="8">
        <v>1</v>
      </c>
      <c r="K2" s="8">
        <v>1.54</v>
      </c>
      <c r="L2" s="8" t="s">
        <v>34</v>
      </c>
      <c r="O2" s="8" t="s">
        <v>118</v>
      </c>
      <c r="P2" s="8" t="s">
        <v>115</v>
      </c>
      <c r="Q2" s="8" t="s">
        <v>130</v>
      </c>
      <c r="R2" s="8" t="s">
        <v>408</v>
      </c>
      <c r="S2" s="8" t="s">
        <v>129</v>
      </c>
      <c r="T2" s="8" t="s">
        <v>128</v>
      </c>
      <c r="U2" s="20">
        <v>45686</v>
      </c>
      <c r="V2" s="20">
        <v>45659</v>
      </c>
      <c r="W2" s="8" t="s">
        <v>129</v>
      </c>
      <c r="X2" s="8" t="str">
        <f>G2&amp;AB$1&amp;O2</f>
        <v>ANAND MURTHY TIWARI/FSD/Exceedance/B737/25-01/01</v>
      </c>
      <c r="Y2" s="13" t="s">
        <v>116</v>
      </c>
      <c r="Z2" s="20">
        <v>45659</v>
      </c>
      <c r="AA2" s="8">
        <f>(U2-V2)</f>
        <v>27</v>
      </c>
    </row>
    <row r="3" spans="1:39" x14ac:dyDescent="0.2">
      <c r="A3" s="8">
        <v>2</v>
      </c>
      <c r="B3" s="8" t="s">
        <v>125</v>
      </c>
      <c r="C3" s="20">
        <v>45658</v>
      </c>
      <c r="D3" s="8" t="s">
        <v>54</v>
      </c>
      <c r="E3" s="8" t="s">
        <v>119</v>
      </c>
      <c r="F3" s="8" t="s">
        <v>120</v>
      </c>
      <c r="G3" s="8" t="s">
        <v>121</v>
      </c>
      <c r="H3" s="8" t="s">
        <v>122</v>
      </c>
      <c r="I3" s="8" t="s">
        <v>58</v>
      </c>
      <c r="J3" s="8">
        <v>1200</v>
      </c>
      <c r="K3" s="8">
        <v>1083</v>
      </c>
      <c r="L3" s="8" t="s">
        <v>26</v>
      </c>
      <c r="O3" s="8" t="s">
        <v>125</v>
      </c>
      <c r="P3" s="8" t="s">
        <v>123</v>
      </c>
      <c r="Q3" s="21" t="s">
        <v>125</v>
      </c>
      <c r="R3" s="21" t="s">
        <v>126</v>
      </c>
      <c r="S3" s="21" t="s">
        <v>125</v>
      </c>
      <c r="T3" s="21" t="s">
        <v>128</v>
      </c>
      <c r="U3" s="20">
        <f>(Z3+1)</f>
        <v>45660</v>
      </c>
      <c r="V3" s="8" t="s">
        <v>125</v>
      </c>
      <c r="W3" s="8" t="s">
        <v>129</v>
      </c>
      <c r="X3" s="8" t="s">
        <v>127</v>
      </c>
      <c r="Y3" s="8" t="s">
        <v>124</v>
      </c>
      <c r="Z3" s="20">
        <v>45659</v>
      </c>
      <c r="AA3" s="8">
        <v>0</v>
      </c>
      <c r="AM3" s="8">
        <v>1</v>
      </c>
    </row>
    <row r="4" spans="1:39" x14ac:dyDescent="0.2">
      <c r="A4" s="8">
        <v>3</v>
      </c>
      <c r="B4" s="8" t="s">
        <v>125</v>
      </c>
      <c r="C4" s="14">
        <v>45659</v>
      </c>
      <c r="D4" s="8" t="s">
        <v>54</v>
      </c>
      <c r="E4" s="8" t="s">
        <v>162</v>
      </c>
      <c r="F4" s="8" t="s">
        <v>45</v>
      </c>
      <c r="G4" s="8" t="s">
        <v>46</v>
      </c>
      <c r="H4" s="8" t="s">
        <v>163</v>
      </c>
      <c r="I4" s="8" t="s">
        <v>24</v>
      </c>
      <c r="J4" s="8">
        <v>1050</v>
      </c>
      <c r="K4" s="8">
        <v>1168</v>
      </c>
      <c r="L4" s="8" t="s">
        <v>25</v>
      </c>
      <c r="O4" s="8" t="s">
        <v>125</v>
      </c>
      <c r="P4" s="8" t="s">
        <v>123</v>
      </c>
      <c r="Q4" s="21" t="s">
        <v>125</v>
      </c>
      <c r="R4" s="21" t="s">
        <v>126</v>
      </c>
      <c r="S4" s="21" t="s">
        <v>125</v>
      </c>
      <c r="T4" s="21" t="s">
        <v>128</v>
      </c>
      <c r="U4" s="20">
        <f t="shared" ref="U4:U8" si="0">(Z4+1)</f>
        <v>45660</v>
      </c>
      <c r="V4" s="8" t="s">
        <v>125</v>
      </c>
      <c r="W4" s="8" t="s">
        <v>129</v>
      </c>
      <c r="X4" s="8" t="s">
        <v>127</v>
      </c>
      <c r="Y4" s="8" t="s">
        <v>1013</v>
      </c>
      <c r="Z4" s="20">
        <v>45659</v>
      </c>
      <c r="AA4" s="8">
        <v>0</v>
      </c>
      <c r="AM4" s="8">
        <v>1</v>
      </c>
    </row>
    <row r="5" spans="1:39" ht="15" customHeight="1" x14ac:dyDescent="0.2">
      <c r="A5" s="8">
        <v>4</v>
      </c>
      <c r="B5" s="8" t="s">
        <v>125</v>
      </c>
      <c r="C5" s="14">
        <v>45659</v>
      </c>
      <c r="D5" s="8" t="s">
        <v>131</v>
      </c>
      <c r="E5" s="8" t="s">
        <v>132</v>
      </c>
      <c r="F5" s="8" t="s">
        <v>133</v>
      </c>
      <c r="G5" s="8" t="s">
        <v>134</v>
      </c>
      <c r="H5" s="8" t="s">
        <v>135</v>
      </c>
      <c r="I5" s="8" t="s">
        <v>136</v>
      </c>
      <c r="J5" s="8" t="s">
        <v>137</v>
      </c>
      <c r="K5" s="8" t="s">
        <v>138</v>
      </c>
      <c r="L5" s="8" t="s">
        <v>42</v>
      </c>
      <c r="O5" s="8" t="s">
        <v>125</v>
      </c>
      <c r="P5" s="8" t="s">
        <v>123</v>
      </c>
      <c r="Q5" s="21" t="s">
        <v>125</v>
      </c>
      <c r="R5" s="21" t="s">
        <v>126</v>
      </c>
      <c r="S5" s="21" t="s">
        <v>125</v>
      </c>
      <c r="T5" s="21" t="s">
        <v>128</v>
      </c>
      <c r="U5" s="20">
        <f t="shared" si="0"/>
        <v>45662</v>
      </c>
      <c r="V5" s="8" t="s">
        <v>125</v>
      </c>
      <c r="W5" s="8" t="s">
        <v>129</v>
      </c>
      <c r="X5" s="8" t="s">
        <v>127</v>
      </c>
      <c r="Y5" s="13" t="s">
        <v>158</v>
      </c>
      <c r="Z5" s="20">
        <v>45661</v>
      </c>
      <c r="AA5" s="8">
        <v>0</v>
      </c>
      <c r="AM5" s="8">
        <v>1</v>
      </c>
    </row>
    <row r="6" spans="1:39" ht="15" customHeight="1" x14ac:dyDescent="0.2">
      <c r="A6" s="8">
        <v>5</v>
      </c>
      <c r="B6" s="8" t="s">
        <v>125</v>
      </c>
      <c r="C6" s="14">
        <v>45658</v>
      </c>
      <c r="D6" s="8" t="s">
        <v>139</v>
      </c>
      <c r="E6" s="8" t="s">
        <v>140</v>
      </c>
      <c r="F6" s="8" t="s">
        <v>51</v>
      </c>
      <c r="G6" s="8" t="s">
        <v>141</v>
      </c>
      <c r="H6" s="8" t="s">
        <v>142</v>
      </c>
      <c r="I6" s="8" t="s">
        <v>27</v>
      </c>
      <c r="J6" s="8" t="s">
        <v>28</v>
      </c>
      <c r="K6" s="8" t="s">
        <v>143</v>
      </c>
      <c r="L6" s="8" t="s">
        <v>26</v>
      </c>
      <c r="O6" s="8" t="s">
        <v>154</v>
      </c>
      <c r="P6" s="8" t="s">
        <v>123</v>
      </c>
      <c r="Q6" s="21" t="s">
        <v>125</v>
      </c>
      <c r="R6" s="21" t="s">
        <v>126</v>
      </c>
      <c r="S6" s="21" t="s">
        <v>125</v>
      </c>
      <c r="T6" s="21" t="s">
        <v>128</v>
      </c>
      <c r="U6" s="20">
        <f t="shared" si="0"/>
        <v>45662</v>
      </c>
      <c r="V6" s="8" t="s">
        <v>125</v>
      </c>
      <c r="W6" s="8" t="s">
        <v>129</v>
      </c>
      <c r="X6" s="8" t="s">
        <v>127</v>
      </c>
      <c r="Y6" s="13" t="s">
        <v>159</v>
      </c>
      <c r="Z6" s="20">
        <v>45661</v>
      </c>
      <c r="AA6" s="8">
        <v>0</v>
      </c>
      <c r="AM6" s="8">
        <v>1</v>
      </c>
    </row>
    <row r="7" spans="1:39" ht="15" customHeight="1" x14ac:dyDescent="0.2">
      <c r="A7" s="8">
        <v>6</v>
      </c>
      <c r="B7" s="8" t="s">
        <v>125</v>
      </c>
      <c r="C7" s="14">
        <v>45658</v>
      </c>
      <c r="D7" s="8" t="s">
        <v>144</v>
      </c>
      <c r="E7" s="8" t="s">
        <v>145</v>
      </c>
      <c r="F7" s="8" t="s">
        <v>146</v>
      </c>
      <c r="G7" s="8" t="s">
        <v>147</v>
      </c>
      <c r="H7" s="8" t="s">
        <v>148</v>
      </c>
      <c r="I7" s="8" t="s">
        <v>27</v>
      </c>
      <c r="J7" s="8" t="s">
        <v>28</v>
      </c>
      <c r="K7" s="8" t="s">
        <v>149</v>
      </c>
      <c r="L7" s="8" t="s">
        <v>26</v>
      </c>
      <c r="O7" s="8" t="s">
        <v>155</v>
      </c>
      <c r="P7" s="8" t="s">
        <v>123</v>
      </c>
      <c r="Q7" s="21" t="s">
        <v>125</v>
      </c>
      <c r="R7" s="21" t="s">
        <v>126</v>
      </c>
      <c r="S7" s="21" t="s">
        <v>125</v>
      </c>
      <c r="T7" s="21" t="s">
        <v>128</v>
      </c>
      <c r="U7" s="20">
        <f t="shared" si="0"/>
        <v>45662</v>
      </c>
      <c r="V7" s="8" t="s">
        <v>125</v>
      </c>
      <c r="W7" s="8" t="s">
        <v>129</v>
      </c>
      <c r="X7" s="8" t="s">
        <v>127</v>
      </c>
      <c r="Y7" s="13" t="s">
        <v>160</v>
      </c>
      <c r="Z7" s="20">
        <v>45661</v>
      </c>
      <c r="AA7" s="8">
        <v>0</v>
      </c>
      <c r="AM7" s="8">
        <v>1</v>
      </c>
    </row>
    <row r="8" spans="1:39" ht="15" customHeight="1" x14ac:dyDescent="0.2">
      <c r="A8" s="8">
        <v>7</v>
      </c>
      <c r="B8" s="8" t="s">
        <v>125</v>
      </c>
      <c r="C8" s="14">
        <v>45660</v>
      </c>
      <c r="D8" s="8" t="s">
        <v>66</v>
      </c>
      <c r="E8" s="8" t="s">
        <v>150</v>
      </c>
      <c r="F8" s="8" t="s">
        <v>111</v>
      </c>
      <c r="G8" s="8" t="s">
        <v>151</v>
      </c>
      <c r="H8" s="8" t="s">
        <v>152</v>
      </c>
      <c r="I8" s="8" t="s">
        <v>27</v>
      </c>
      <c r="J8" s="8" t="s">
        <v>28</v>
      </c>
      <c r="K8" s="8" t="s">
        <v>153</v>
      </c>
      <c r="L8" s="8" t="s">
        <v>26</v>
      </c>
      <c r="O8" s="8" t="s">
        <v>156</v>
      </c>
      <c r="P8" s="8" t="s">
        <v>157</v>
      </c>
      <c r="Q8" s="21" t="s">
        <v>125</v>
      </c>
      <c r="R8" s="21" t="s">
        <v>126</v>
      </c>
      <c r="S8" s="21" t="s">
        <v>125</v>
      </c>
      <c r="T8" s="21" t="s">
        <v>128</v>
      </c>
      <c r="U8" s="20">
        <f t="shared" si="0"/>
        <v>45662</v>
      </c>
      <c r="V8" s="8" t="s">
        <v>125</v>
      </c>
      <c r="W8" s="8" t="s">
        <v>129</v>
      </c>
      <c r="X8" s="8" t="s">
        <v>127</v>
      </c>
      <c r="Y8" s="13" t="s">
        <v>161</v>
      </c>
      <c r="Z8" s="20">
        <v>45661</v>
      </c>
      <c r="AA8" s="8">
        <v>0</v>
      </c>
      <c r="AM8" s="8">
        <v>1</v>
      </c>
    </row>
    <row r="9" spans="1:39" ht="17.25" customHeight="1" x14ac:dyDescent="0.2">
      <c r="A9" s="8">
        <v>8</v>
      </c>
      <c r="B9" s="21">
        <v>7704</v>
      </c>
      <c r="C9" s="14">
        <v>45661</v>
      </c>
      <c r="D9" s="8" t="s">
        <v>139</v>
      </c>
      <c r="E9" s="8" t="s">
        <v>164</v>
      </c>
      <c r="F9" s="8" t="s">
        <v>165</v>
      </c>
      <c r="G9" s="8" t="s">
        <v>166</v>
      </c>
      <c r="H9" s="8" t="s">
        <v>167</v>
      </c>
      <c r="I9" s="8" t="s">
        <v>38</v>
      </c>
      <c r="K9" s="8">
        <v>139</v>
      </c>
      <c r="L9" s="8" t="s">
        <v>26</v>
      </c>
      <c r="O9" s="8" t="s">
        <v>174</v>
      </c>
      <c r="P9" s="8" t="s">
        <v>115</v>
      </c>
      <c r="Q9" s="8" t="s">
        <v>130</v>
      </c>
      <c r="R9" s="8" t="s">
        <v>408</v>
      </c>
      <c r="S9" s="8" t="s">
        <v>129</v>
      </c>
      <c r="T9" s="8" t="s">
        <v>128</v>
      </c>
      <c r="U9" s="20">
        <v>45686</v>
      </c>
      <c r="V9" s="14">
        <v>45665</v>
      </c>
      <c r="W9" s="8" t="s">
        <v>129</v>
      </c>
      <c r="X9" s="8" t="str">
        <f t="shared" ref="X9:X14" si="1">G9&amp;AB$1&amp;O9</f>
        <v>SUDHIR SHARMA/FSD/Exceedance/B737/25-01/05</v>
      </c>
      <c r="Y9" s="13" t="s">
        <v>171</v>
      </c>
      <c r="Z9" s="20">
        <v>45663</v>
      </c>
      <c r="AA9" s="8">
        <f t="shared" ref="AA9:AA66" si="2">(U9-V9)</f>
        <v>21</v>
      </c>
    </row>
    <row r="10" spans="1:39" ht="12.75" customHeight="1" x14ac:dyDescent="0.2">
      <c r="A10" s="8">
        <v>9</v>
      </c>
      <c r="B10" s="21">
        <v>7705</v>
      </c>
      <c r="C10" s="14">
        <v>45661</v>
      </c>
      <c r="D10" s="8" t="s">
        <v>139</v>
      </c>
      <c r="E10" s="8" t="s">
        <v>164</v>
      </c>
      <c r="F10" s="8" t="s">
        <v>165</v>
      </c>
      <c r="G10" s="8" t="s">
        <v>166</v>
      </c>
      <c r="H10" s="8" t="s">
        <v>167</v>
      </c>
      <c r="I10" s="8" t="s">
        <v>39</v>
      </c>
      <c r="J10" s="8">
        <v>1</v>
      </c>
      <c r="K10" s="8">
        <v>1.84</v>
      </c>
      <c r="L10" s="8" t="s">
        <v>34</v>
      </c>
      <c r="O10" s="8" t="s">
        <v>174</v>
      </c>
      <c r="P10" s="8" t="s">
        <v>115</v>
      </c>
      <c r="Q10" s="8" t="s">
        <v>130</v>
      </c>
      <c r="R10" s="8" t="s">
        <v>408</v>
      </c>
      <c r="S10" s="8" t="s">
        <v>129</v>
      </c>
      <c r="T10" s="8" t="s">
        <v>128</v>
      </c>
      <c r="U10" s="20">
        <v>45686</v>
      </c>
      <c r="V10" s="14">
        <v>45665</v>
      </c>
      <c r="W10" s="8" t="s">
        <v>129</v>
      </c>
      <c r="X10" s="8" t="str">
        <f t="shared" si="1"/>
        <v>SUDHIR SHARMA/FSD/Exceedance/B737/25-01/05</v>
      </c>
      <c r="Y10" s="13" t="s">
        <v>172</v>
      </c>
      <c r="Z10" s="20">
        <v>45663</v>
      </c>
      <c r="AA10" s="8">
        <f t="shared" si="2"/>
        <v>21</v>
      </c>
    </row>
    <row r="11" spans="1:39" ht="15" customHeight="1" x14ac:dyDescent="0.2">
      <c r="A11" s="8">
        <v>10</v>
      </c>
      <c r="B11" s="8" t="s">
        <v>125</v>
      </c>
      <c r="C11" s="14">
        <v>45661</v>
      </c>
      <c r="D11" s="8" t="s">
        <v>168</v>
      </c>
      <c r="E11" s="8" t="s">
        <v>101</v>
      </c>
      <c r="F11" s="8" t="s">
        <v>41</v>
      </c>
      <c r="G11" s="8" t="s">
        <v>169</v>
      </c>
      <c r="H11" s="8" t="s">
        <v>170</v>
      </c>
      <c r="I11" s="8" t="s">
        <v>27</v>
      </c>
      <c r="J11" s="8" t="s">
        <v>28</v>
      </c>
      <c r="K11" s="8">
        <v>907</v>
      </c>
      <c r="L11" s="8" t="s">
        <v>26</v>
      </c>
      <c r="O11" s="8" t="s">
        <v>125</v>
      </c>
      <c r="P11" s="8" t="s">
        <v>157</v>
      </c>
      <c r="Q11" s="21" t="s">
        <v>125</v>
      </c>
      <c r="R11" s="21" t="s">
        <v>126</v>
      </c>
      <c r="S11" s="21" t="s">
        <v>125</v>
      </c>
      <c r="T11" s="21" t="s">
        <v>128</v>
      </c>
      <c r="U11" s="20">
        <f t="shared" ref="U11" si="3">(Z11+1)</f>
        <v>45664</v>
      </c>
      <c r="V11" s="8" t="s">
        <v>125</v>
      </c>
      <c r="W11" s="8" t="s">
        <v>129</v>
      </c>
      <c r="X11" s="8" t="s">
        <v>127</v>
      </c>
      <c r="Y11" s="13" t="s">
        <v>173</v>
      </c>
      <c r="Z11" s="20">
        <v>45663</v>
      </c>
      <c r="AA11" s="8">
        <v>0</v>
      </c>
      <c r="AM11" s="8">
        <v>1</v>
      </c>
    </row>
    <row r="12" spans="1:39" ht="15" customHeight="1" x14ac:dyDescent="0.2">
      <c r="A12" s="8">
        <v>11</v>
      </c>
      <c r="B12" s="8">
        <v>7720</v>
      </c>
      <c r="C12" s="14">
        <v>45663</v>
      </c>
      <c r="D12" s="8" t="s">
        <v>131</v>
      </c>
      <c r="E12" s="8" t="s">
        <v>176</v>
      </c>
      <c r="F12" s="8" t="s">
        <v>177</v>
      </c>
      <c r="G12" s="8" t="s">
        <v>178</v>
      </c>
      <c r="H12" s="8" t="s">
        <v>179</v>
      </c>
      <c r="I12" s="8" t="s">
        <v>180</v>
      </c>
      <c r="J12" s="8">
        <v>8</v>
      </c>
      <c r="K12" s="8">
        <v>10</v>
      </c>
      <c r="L12" s="8" t="s">
        <v>36</v>
      </c>
      <c r="O12" s="8" t="s">
        <v>211</v>
      </c>
      <c r="P12" s="8" t="s">
        <v>115</v>
      </c>
      <c r="Q12" s="8" t="s">
        <v>130</v>
      </c>
      <c r="R12" s="8" t="s">
        <v>219</v>
      </c>
      <c r="S12" s="8" t="s">
        <v>129</v>
      </c>
      <c r="T12" s="8" t="s">
        <v>128</v>
      </c>
      <c r="U12" s="14">
        <v>45665</v>
      </c>
      <c r="V12" s="14">
        <v>45664</v>
      </c>
      <c r="W12" s="8" t="s">
        <v>129</v>
      </c>
      <c r="X12" s="8" t="str">
        <f t="shared" si="1"/>
        <v>PRATIK KHAIRMODE/FSD/Exceedance/B737/25-01/06</v>
      </c>
      <c r="Y12" s="13" t="s">
        <v>204</v>
      </c>
      <c r="Z12" s="20">
        <v>45664</v>
      </c>
      <c r="AA12" s="8">
        <f t="shared" si="2"/>
        <v>1</v>
      </c>
    </row>
    <row r="13" spans="1:39" ht="15" customHeight="1" x14ac:dyDescent="0.2">
      <c r="A13" s="8">
        <v>12</v>
      </c>
      <c r="B13" s="8">
        <v>7721</v>
      </c>
      <c r="C13" s="14">
        <v>45663</v>
      </c>
      <c r="D13" s="8" t="s">
        <v>48</v>
      </c>
      <c r="E13" s="8" t="s">
        <v>181</v>
      </c>
      <c r="F13" s="8" t="s">
        <v>182</v>
      </c>
      <c r="G13" s="8" t="s">
        <v>183</v>
      </c>
      <c r="H13" s="8" t="s">
        <v>184</v>
      </c>
      <c r="I13" s="8" t="s">
        <v>38</v>
      </c>
      <c r="K13" s="8">
        <v>168</v>
      </c>
      <c r="L13" s="8" t="s">
        <v>26</v>
      </c>
      <c r="O13" s="8" t="s">
        <v>212</v>
      </c>
      <c r="P13" s="8" t="s">
        <v>203</v>
      </c>
      <c r="Q13" s="8" t="s">
        <v>126</v>
      </c>
      <c r="R13" s="8" t="s">
        <v>219</v>
      </c>
      <c r="S13" s="8" t="s">
        <v>129</v>
      </c>
      <c r="T13" s="8" t="s">
        <v>128</v>
      </c>
      <c r="U13" s="14">
        <v>45667</v>
      </c>
      <c r="V13" s="14">
        <v>45664</v>
      </c>
      <c r="W13" s="8" t="s">
        <v>129</v>
      </c>
      <c r="X13" s="8" t="str">
        <f t="shared" si="1"/>
        <v>ALOK KUMAR GARG/FSD/Exceedance/B737/25-01/07</v>
      </c>
      <c r="Y13" s="13" t="s">
        <v>205</v>
      </c>
      <c r="Z13" s="20">
        <v>45664</v>
      </c>
      <c r="AA13" s="8">
        <f t="shared" si="2"/>
        <v>3</v>
      </c>
    </row>
    <row r="14" spans="1:39" ht="15" customHeight="1" x14ac:dyDescent="0.2">
      <c r="A14" s="8">
        <v>13</v>
      </c>
      <c r="B14" s="8">
        <v>7722</v>
      </c>
      <c r="C14" s="14">
        <v>45663</v>
      </c>
      <c r="D14" s="8" t="s">
        <v>48</v>
      </c>
      <c r="E14" s="8" t="s">
        <v>181</v>
      </c>
      <c r="F14" s="8" t="s">
        <v>182</v>
      </c>
      <c r="G14" s="8" t="s">
        <v>183</v>
      </c>
      <c r="H14" s="8" t="s">
        <v>184</v>
      </c>
      <c r="I14" s="8" t="s">
        <v>39</v>
      </c>
      <c r="J14" s="8">
        <v>1</v>
      </c>
      <c r="K14" s="8">
        <v>1.36</v>
      </c>
      <c r="L14" s="8" t="s">
        <v>34</v>
      </c>
      <c r="O14" s="8" t="s">
        <v>212</v>
      </c>
      <c r="P14" s="8" t="s">
        <v>203</v>
      </c>
      <c r="Q14" s="8" t="s">
        <v>126</v>
      </c>
      <c r="R14" s="8" t="s">
        <v>219</v>
      </c>
      <c r="S14" s="8" t="s">
        <v>129</v>
      </c>
      <c r="T14" s="8" t="s">
        <v>128</v>
      </c>
      <c r="U14" s="14">
        <v>45667</v>
      </c>
      <c r="V14" s="14">
        <v>45664</v>
      </c>
      <c r="W14" s="8" t="s">
        <v>129</v>
      </c>
      <c r="X14" s="8" t="str">
        <f t="shared" si="1"/>
        <v>ALOK KUMAR GARG/FSD/Exceedance/B737/25-01/07</v>
      </c>
      <c r="Y14" s="13" t="s">
        <v>206</v>
      </c>
      <c r="Z14" s="20">
        <v>45664</v>
      </c>
      <c r="AA14" s="8">
        <f t="shared" si="2"/>
        <v>3</v>
      </c>
    </row>
    <row r="15" spans="1:39" ht="15" customHeight="1" x14ac:dyDescent="0.2">
      <c r="A15" s="8">
        <v>14</v>
      </c>
      <c r="B15" s="8" t="s">
        <v>125</v>
      </c>
      <c r="C15" s="14">
        <v>45663</v>
      </c>
      <c r="D15" s="8" t="s">
        <v>37</v>
      </c>
      <c r="E15" s="8" t="s">
        <v>185</v>
      </c>
      <c r="F15" s="8" t="s">
        <v>111</v>
      </c>
      <c r="G15" s="8" t="s">
        <v>186</v>
      </c>
      <c r="H15" s="8" t="s">
        <v>167</v>
      </c>
      <c r="I15" s="8" t="s">
        <v>57</v>
      </c>
      <c r="J15" s="8">
        <v>30</v>
      </c>
      <c r="K15" s="8">
        <v>32</v>
      </c>
      <c r="L15" s="8" t="s">
        <v>36</v>
      </c>
      <c r="O15" s="8" t="s">
        <v>125</v>
      </c>
      <c r="P15" s="13" t="s">
        <v>123</v>
      </c>
      <c r="Q15" s="21" t="s">
        <v>125</v>
      </c>
      <c r="R15" s="21" t="s">
        <v>126</v>
      </c>
      <c r="S15" s="21" t="s">
        <v>125</v>
      </c>
      <c r="T15" s="21" t="s">
        <v>128</v>
      </c>
      <c r="U15" s="20">
        <f t="shared" ref="U15:U18" si="4">(Z15+1)</f>
        <v>45665</v>
      </c>
      <c r="V15" s="8" t="s">
        <v>125</v>
      </c>
      <c r="W15" s="8" t="s">
        <v>129</v>
      </c>
      <c r="X15" s="8" t="s">
        <v>127</v>
      </c>
      <c r="Y15" s="13" t="s">
        <v>207</v>
      </c>
      <c r="Z15" s="20">
        <v>45664</v>
      </c>
      <c r="AA15" s="8">
        <v>0</v>
      </c>
      <c r="AM15" s="8">
        <v>1</v>
      </c>
    </row>
    <row r="16" spans="1:39" ht="15" customHeight="1" x14ac:dyDescent="0.2">
      <c r="A16" s="8">
        <v>15</v>
      </c>
      <c r="B16" s="8" t="s">
        <v>125</v>
      </c>
      <c r="C16" s="14">
        <v>45658</v>
      </c>
      <c r="D16" s="8" t="s">
        <v>168</v>
      </c>
      <c r="E16" s="8" t="s">
        <v>187</v>
      </c>
      <c r="F16" s="8" t="s">
        <v>188</v>
      </c>
      <c r="G16" s="8" t="s">
        <v>189</v>
      </c>
      <c r="H16" s="8" t="s">
        <v>190</v>
      </c>
      <c r="I16" s="8" t="s">
        <v>57</v>
      </c>
      <c r="J16" s="8">
        <v>30</v>
      </c>
      <c r="K16" s="8">
        <v>33.200000000000003</v>
      </c>
      <c r="L16" s="8" t="s">
        <v>36</v>
      </c>
      <c r="O16" s="8" t="s">
        <v>125</v>
      </c>
      <c r="P16" s="13" t="s">
        <v>123</v>
      </c>
      <c r="Q16" s="21" t="s">
        <v>125</v>
      </c>
      <c r="R16" s="21" t="s">
        <v>126</v>
      </c>
      <c r="S16" s="21" t="s">
        <v>125</v>
      </c>
      <c r="T16" s="21" t="s">
        <v>128</v>
      </c>
      <c r="U16" s="20">
        <f t="shared" si="4"/>
        <v>45665</v>
      </c>
      <c r="V16" s="8" t="s">
        <v>125</v>
      </c>
      <c r="W16" s="8" t="s">
        <v>129</v>
      </c>
      <c r="X16" s="8" t="s">
        <v>127</v>
      </c>
      <c r="Y16" s="13" t="s">
        <v>208</v>
      </c>
      <c r="Z16" s="20">
        <v>45664</v>
      </c>
      <c r="AA16" s="8">
        <v>0</v>
      </c>
      <c r="AM16" s="8">
        <v>1</v>
      </c>
    </row>
    <row r="17" spans="1:39" ht="15" customHeight="1" x14ac:dyDescent="0.2">
      <c r="A17" s="8">
        <v>16</v>
      </c>
      <c r="B17" s="8" t="s">
        <v>125</v>
      </c>
      <c r="C17" s="14">
        <v>45661</v>
      </c>
      <c r="D17" s="8" t="s">
        <v>191</v>
      </c>
      <c r="E17" s="8" t="s">
        <v>192</v>
      </c>
      <c r="F17" s="8" t="s">
        <v>193</v>
      </c>
      <c r="G17" s="8" t="s">
        <v>194</v>
      </c>
      <c r="H17" s="8" t="s">
        <v>195</v>
      </c>
      <c r="I17" s="8" t="s">
        <v>196</v>
      </c>
      <c r="J17" s="8">
        <v>4</v>
      </c>
      <c r="K17" s="8">
        <v>4.2</v>
      </c>
      <c r="L17" s="8" t="s">
        <v>197</v>
      </c>
      <c r="O17" s="8" t="s">
        <v>125</v>
      </c>
      <c r="P17" s="13" t="s">
        <v>123</v>
      </c>
      <c r="Q17" s="21" t="s">
        <v>125</v>
      </c>
      <c r="R17" s="21" t="s">
        <v>126</v>
      </c>
      <c r="S17" s="21" t="s">
        <v>125</v>
      </c>
      <c r="T17" s="21" t="s">
        <v>128</v>
      </c>
      <c r="U17" s="20">
        <f t="shared" si="4"/>
        <v>45665</v>
      </c>
      <c r="V17" s="8" t="s">
        <v>125</v>
      </c>
      <c r="W17" s="8" t="s">
        <v>129</v>
      </c>
      <c r="X17" s="8" t="s">
        <v>127</v>
      </c>
      <c r="Y17" s="13" t="s">
        <v>209</v>
      </c>
      <c r="Z17" s="20">
        <v>45664</v>
      </c>
      <c r="AA17" s="8">
        <v>0</v>
      </c>
      <c r="AM17" s="8">
        <v>1</v>
      </c>
    </row>
    <row r="18" spans="1:39" ht="15" customHeight="1" x14ac:dyDescent="0.2">
      <c r="A18" s="8">
        <v>17</v>
      </c>
      <c r="B18" s="8" t="s">
        <v>125</v>
      </c>
      <c r="C18" s="14">
        <v>45662</v>
      </c>
      <c r="D18" s="8" t="s">
        <v>66</v>
      </c>
      <c r="E18" s="8" t="s">
        <v>198</v>
      </c>
      <c r="F18" s="8" t="s">
        <v>199</v>
      </c>
      <c r="G18" s="8" t="s">
        <v>52</v>
      </c>
      <c r="H18" s="8" t="s">
        <v>200</v>
      </c>
      <c r="I18" s="8" t="s">
        <v>201</v>
      </c>
      <c r="J18" s="8">
        <v>335</v>
      </c>
      <c r="K18" s="8">
        <v>336.3</v>
      </c>
      <c r="L18" s="8" t="s">
        <v>202</v>
      </c>
      <c r="O18" s="8" t="s">
        <v>125</v>
      </c>
      <c r="P18" s="13" t="s">
        <v>123</v>
      </c>
      <c r="Q18" s="21" t="s">
        <v>125</v>
      </c>
      <c r="R18" s="21" t="s">
        <v>126</v>
      </c>
      <c r="S18" s="21" t="s">
        <v>125</v>
      </c>
      <c r="T18" s="21" t="s">
        <v>128</v>
      </c>
      <c r="U18" s="20">
        <f t="shared" si="4"/>
        <v>45665</v>
      </c>
      <c r="V18" s="8" t="s">
        <v>125</v>
      </c>
      <c r="W18" s="8" t="s">
        <v>129</v>
      </c>
      <c r="X18" s="8" t="s">
        <v>127</v>
      </c>
      <c r="Y18" s="13" t="s">
        <v>210</v>
      </c>
      <c r="Z18" s="20">
        <v>45664</v>
      </c>
      <c r="AA18" s="8">
        <v>0</v>
      </c>
      <c r="AM18" s="8">
        <v>1</v>
      </c>
    </row>
    <row r="19" spans="1:39" ht="15" customHeight="1" x14ac:dyDescent="0.2">
      <c r="A19" s="8">
        <v>18</v>
      </c>
      <c r="B19" s="8">
        <v>7723</v>
      </c>
      <c r="C19" s="14">
        <v>45663</v>
      </c>
      <c r="D19" s="8" t="s">
        <v>144</v>
      </c>
      <c r="E19" s="8" t="s">
        <v>213</v>
      </c>
      <c r="F19" s="8" t="s">
        <v>214</v>
      </c>
      <c r="G19" s="8" t="s">
        <v>215</v>
      </c>
      <c r="H19" s="8" t="s">
        <v>216</v>
      </c>
      <c r="I19" s="8" t="s">
        <v>39</v>
      </c>
      <c r="J19" s="8">
        <v>1</v>
      </c>
      <c r="K19" s="8">
        <v>1.37</v>
      </c>
      <c r="L19" s="8" t="s">
        <v>34</v>
      </c>
      <c r="O19" s="8" t="s">
        <v>218</v>
      </c>
      <c r="P19" s="8" t="s">
        <v>115</v>
      </c>
      <c r="Q19" s="8" t="s">
        <v>130</v>
      </c>
      <c r="R19" s="8" t="s">
        <v>408</v>
      </c>
      <c r="S19" s="8" t="s">
        <v>129</v>
      </c>
      <c r="T19" s="8" t="s">
        <v>128</v>
      </c>
      <c r="U19" s="20">
        <v>45686</v>
      </c>
      <c r="V19" s="14">
        <v>45665</v>
      </c>
      <c r="W19" s="8" t="s">
        <v>129</v>
      </c>
      <c r="X19" s="8" t="str">
        <f t="shared" ref="X19:X22" si="5">G19&amp;AB$1&amp;O19</f>
        <v>JATIN CHANDRAKANT MER/FSD/Exceedance/B737/25-01/08</v>
      </c>
      <c r="Y19" s="13" t="s">
        <v>217</v>
      </c>
      <c r="Z19" s="20">
        <v>45665</v>
      </c>
      <c r="AA19" s="8">
        <f t="shared" si="2"/>
        <v>21</v>
      </c>
    </row>
    <row r="20" spans="1:39" ht="15" customHeight="1" x14ac:dyDescent="0.2">
      <c r="A20" s="8">
        <v>19</v>
      </c>
      <c r="B20" s="8">
        <v>7762</v>
      </c>
      <c r="C20" s="14">
        <v>45665</v>
      </c>
      <c r="D20" s="8" t="s">
        <v>168</v>
      </c>
      <c r="E20" s="8" t="s">
        <v>220</v>
      </c>
      <c r="F20" s="8" t="s">
        <v>221</v>
      </c>
      <c r="G20" s="8" t="s">
        <v>222</v>
      </c>
      <c r="H20" s="8" t="s">
        <v>223</v>
      </c>
      <c r="I20" s="8" t="s">
        <v>196</v>
      </c>
      <c r="J20" s="8">
        <v>4.5</v>
      </c>
      <c r="K20" s="8">
        <v>4.6500000000000004</v>
      </c>
      <c r="L20" s="8" t="s">
        <v>197</v>
      </c>
      <c r="O20" s="8" t="s">
        <v>228</v>
      </c>
      <c r="P20" s="8" t="s">
        <v>115</v>
      </c>
      <c r="Q20" s="8" t="s">
        <v>130</v>
      </c>
      <c r="R20" s="8" t="s">
        <v>408</v>
      </c>
      <c r="S20" s="8" t="s">
        <v>129</v>
      </c>
      <c r="T20" s="8" t="s">
        <v>128</v>
      </c>
      <c r="U20" s="20">
        <v>45686</v>
      </c>
      <c r="V20" s="20">
        <v>45666</v>
      </c>
      <c r="W20" s="8" t="s">
        <v>129</v>
      </c>
      <c r="X20" s="8" t="str">
        <f t="shared" si="5"/>
        <v>RASHMI SHARMA/FSD/Exceedance/B737/25-01/09</v>
      </c>
      <c r="Y20" s="13" t="s">
        <v>226</v>
      </c>
      <c r="Z20" s="20">
        <v>45666</v>
      </c>
      <c r="AA20" s="8">
        <f t="shared" si="2"/>
        <v>20</v>
      </c>
    </row>
    <row r="21" spans="1:39" ht="15" customHeight="1" x14ac:dyDescent="0.2">
      <c r="A21" s="8">
        <v>20</v>
      </c>
      <c r="B21" s="8" t="s">
        <v>125</v>
      </c>
      <c r="C21" s="14">
        <v>45665</v>
      </c>
      <c r="D21" s="8" t="s">
        <v>48</v>
      </c>
      <c r="E21" s="8" t="s">
        <v>110</v>
      </c>
      <c r="F21" s="8" t="s">
        <v>111</v>
      </c>
      <c r="G21" s="8" t="s">
        <v>224</v>
      </c>
      <c r="H21" s="8" t="s">
        <v>225</v>
      </c>
      <c r="I21" s="8" t="s">
        <v>24</v>
      </c>
      <c r="J21" s="8">
        <v>1050</v>
      </c>
      <c r="K21" s="8">
        <v>1155</v>
      </c>
      <c r="L21" s="8" t="s">
        <v>25</v>
      </c>
      <c r="O21" s="8" t="s">
        <v>125</v>
      </c>
      <c r="P21" s="13" t="s">
        <v>123</v>
      </c>
      <c r="Q21" s="21" t="s">
        <v>125</v>
      </c>
      <c r="R21" s="21" t="s">
        <v>126</v>
      </c>
      <c r="S21" s="21" t="s">
        <v>125</v>
      </c>
      <c r="T21" s="21" t="s">
        <v>128</v>
      </c>
      <c r="U21" s="20">
        <f t="shared" ref="U21" si="6">(Z21+1)</f>
        <v>45667</v>
      </c>
      <c r="V21" s="8" t="s">
        <v>125</v>
      </c>
      <c r="W21" s="8" t="s">
        <v>129</v>
      </c>
      <c r="X21" s="8" t="s">
        <v>127</v>
      </c>
      <c r="Y21" s="13" t="s">
        <v>227</v>
      </c>
      <c r="Z21" s="20">
        <v>45666</v>
      </c>
      <c r="AA21" s="8">
        <v>0</v>
      </c>
      <c r="AM21" s="8">
        <v>1</v>
      </c>
    </row>
    <row r="22" spans="1:39" ht="15" customHeight="1" x14ac:dyDescent="0.2">
      <c r="A22" s="8">
        <v>21</v>
      </c>
      <c r="B22" s="8">
        <v>7764</v>
      </c>
      <c r="C22" s="14">
        <v>45666</v>
      </c>
      <c r="D22" s="8" t="s">
        <v>30</v>
      </c>
      <c r="E22" s="8" t="s">
        <v>229</v>
      </c>
      <c r="F22" s="8" t="s">
        <v>230</v>
      </c>
      <c r="G22" s="8" t="s">
        <v>231</v>
      </c>
      <c r="H22" s="8" t="s">
        <v>148</v>
      </c>
      <c r="I22" s="8" t="s">
        <v>232</v>
      </c>
      <c r="J22" s="8">
        <v>2914</v>
      </c>
      <c r="K22" s="8">
        <v>3168</v>
      </c>
      <c r="L22" s="8" t="s">
        <v>26</v>
      </c>
      <c r="O22" s="8" t="s">
        <v>238</v>
      </c>
      <c r="P22" s="8" t="s">
        <v>115</v>
      </c>
      <c r="Q22" s="8" t="s">
        <v>130</v>
      </c>
      <c r="R22" s="8" t="s">
        <v>408</v>
      </c>
      <c r="S22" s="8" t="s">
        <v>912</v>
      </c>
      <c r="T22" s="8" t="s">
        <v>128</v>
      </c>
      <c r="U22" s="20">
        <v>45686</v>
      </c>
      <c r="V22" s="20">
        <v>45667</v>
      </c>
      <c r="W22" s="8" t="s">
        <v>129</v>
      </c>
      <c r="X22" s="8" t="str">
        <f t="shared" si="5"/>
        <v>ISHAN SHARMA./FSD/Exceedance/B737/25-01/10</v>
      </c>
      <c r="Y22" s="22" t="s">
        <v>236</v>
      </c>
      <c r="Z22" s="20">
        <v>45667</v>
      </c>
      <c r="AA22" s="8">
        <f t="shared" si="2"/>
        <v>19</v>
      </c>
    </row>
    <row r="23" spans="1:39" ht="15" customHeight="1" x14ac:dyDescent="0.2">
      <c r="A23" s="8">
        <v>22</v>
      </c>
      <c r="B23" s="8" t="s">
        <v>125</v>
      </c>
      <c r="C23" s="20">
        <v>45664</v>
      </c>
      <c r="D23" s="20" t="s">
        <v>139</v>
      </c>
      <c r="E23" s="8" t="s">
        <v>233</v>
      </c>
      <c r="F23" s="8" t="s">
        <v>234</v>
      </c>
      <c r="G23" s="8" t="s">
        <v>235</v>
      </c>
      <c r="H23" s="8" t="s">
        <v>47</v>
      </c>
      <c r="I23" s="8" t="s">
        <v>58</v>
      </c>
      <c r="J23" s="8">
        <v>1200</v>
      </c>
      <c r="K23" s="8">
        <v>1137</v>
      </c>
      <c r="L23" s="8" t="s">
        <v>26</v>
      </c>
      <c r="O23" s="8" t="s">
        <v>125</v>
      </c>
      <c r="P23" s="13" t="s">
        <v>123</v>
      </c>
      <c r="Q23" s="21" t="s">
        <v>125</v>
      </c>
      <c r="R23" s="21" t="s">
        <v>126</v>
      </c>
      <c r="S23" s="21" t="s">
        <v>125</v>
      </c>
      <c r="T23" s="21" t="s">
        <v>128</v>
      </c>
      <c r="U23" s="20">
        <f t="shared" ref="U23:U24" si="7">(Z23+1)</f>
        <v>45668</v>
      </c>
      <c r="V23" s="8" t="s">
        <v>125</v>
      </c>
      <c r="W23" s="8" t="s">
        <v>129</v>
      </c>
      <c r="X23" s="8" t="s">
        <v>127</v>
      </c>
      <c r="Y23" s="13" t="s">
        <v>237</v>
      </c>
      <c r="Z23" s="20">
        <v>45667</v>
      </c>
      <c r="AA23" s="8">
        <v>0</v>
      </c>
      <c r="AM23" s="8">
        <v>1</v>
      </c>
    </row>
    <row r="24" spans="1:39" ht="15" customHeight="1" x14ac:dyDescent="0.2">
      <c r="A24" s="8">
        <v>23</v>
      </c>
      <c r="B24" s="8" t="s">
        <v>125</v>
      </c>
      <c r="C24" s="14">
        <v>45666</v>
      </c>
      <c r="D24" s="8" t="s">
        <v>168</v>
      </c>
      <c r="E24" s="8" t="s">
        <v>239</v>
      </c>
      <c r="F24" s="8" t="s">
        <v>240</v>
      </c>
      <c r="G24" s="8" t="s">
        <v>241</v>
      </c>
      <c r="H24" s="8" t="s">
        <v>183</v>
      </c>
      <c r="I24" s="8" t="s">
        <v>242</v>
      </c>
      <c r="K24" s="8" t="s">
        <v>243</v>
      </c>
      <c r="L24" s="8" t="s">
        <v>26</v>
      </c>
      <c r="O24" s="8" t="s">
        <v>125</v>
      </c>
      <c r="P24" s="8" t="s">
        <v>123</v>
      </c>
      <c r="Q24" s="21" t="s">
        <v>125</v>
      </c>
      <c r="R24" s="21" t="s">
        <v>126</v>
      </c>
      <c r="S24" s="21" t="s">
        <v>125</v>
      </c>
      <c r="T24" s="21" t="s">
        <v>128</v>
      </c>
      <c r="U24" s="20">
        <f t="shared" si="7"/>
        <v>45669</v>
      </c>
      <c r="V24" s="8" t="s">
        <v>125</v>
      </c>
      <c r="W24" s="8" t="s">
        <v>129</v>
      </c>
      <c r="X24" s="8" t="s">
        <v>127</v>
      </c>
      <c r="Y24" s="13" t="s">
        <v>246</v>
      </c>
      <c r="Z24" s="20">
        <v>45668</v>
      </c>
      <c r="AA24" s="8">
        <v>0</v>
      </c>
      <c r="AM24" s="8">
        <v>1</v>
      </c>
    </row>
    <row r="25" spans="1:39" ht="15" customHeight="1" x14ac:dyDescent="0.2">
      <c r="A25" s="8">
        <v>24</v>
      </c>
      <c r="B25" s="8">
        <v>7741</v>
      </c>
      <c r="C25" s="14">
        <v>45666</v>
      </c>
      <c r="D25" s="8" t="s">
        <v>168</v>
      </c>
      <c r="E25" s="8" t="s">
        <v>239</v>
      </c>
      <c r="F25" s="8" t="s">
        <v>240</v>
      </c>
      <c r="G25" s="8" t="s">
        <v>241</v>
      </c>
      <c r="H25" s="8" t="s">
        <v>183</v>
      </c>
      <c r="I25" s="8" t="s">
        <v>244</v>
      </c>
      <c r="J25" s="8">
        <v>1</v>
      </c>
      <c r="K25" s="8">
        <v>1.0900000000000001</v>
      </c>
      <c r="L25" s="8" t="s">
        <v>34</v>
      </c>
      <c r="O25" s="8" t="s">
        <v>245</v>
      </c>
      <c r="P25" s="8" t="s">
        <v>115</v>
      </c>
      <c r="Q25" s="8" t="s">
        <v>130</v>
      </c>
      <c r="R25" s="8" t="s">
        <v>219</v>
      </c>
      <c r="S25" s="8" t="s">
        <v>129</v>
      </c>
      <c r="T25" s="8" t="s">
        <v>128</v>
      </c>
      <c r="U25" s="14">
        <v>45681</v>
      </c>
      <c r="V25" s="20">
        <v>45668</v>
      </c>
      <c r="W25" s="8" t="s">
        <v>129</v>
      </c>
      <c r="X25" s="8" t="str">
        <f t="shared" ref="X25:X35" si="8">G25&amp;AB$1&amp;O25</f>
        <v>ANIL ARORA/FSD/Exceedance/B737/25-01/11</v>
      </c>
      <c r="Y25" s="13" t="s">
        <v>247</v>
      </c>
      <c r="Z25" s="20">
        <v>45668</v>
      </c>
      <c r="AA25" s="8">
        <f t="shared" si="2"/>
        <v>13</v>
      </c>
    </row>
    <row r="26" spans="1:39" ht="15" customHeight="1" x14ac:dyDescent="0.2">
      <c r="A26" s="8">
        <v>25</v>
      </c>
      <c r="B26" s="8">
        <v>7741</v>
      </c>
      <c r="C26" s="14">
        <v>45666</v>
      </c>
      <c r="D26" s="8" t="s">
        <v>168</v>
      </c>
      <c r="E26" s="8" t="s">
        <v>239</v>
      </c>
      <c r="F26" s="8" t="s">
        <v>240</v>
      </c>
      <c r="G26" s="8" t="s">
        <v>241</v>
      </c>
      <c r="H26" s="8" t="s">
        <v>183</v>
      </c>
      <c r="I26" s="8" t="s">
        <v>39</v>
      </c>
      <c r="J26" s="8">
        <v>1</v>
      </c>
      <c r="K26" s="8">
        <v>1.1100000000000001</v>
      </c>
      <c r="L26" s="8" t="s">
        <v>34</v>
      </c>
      <c r="O26" s="8" t="s">
        <v>245</v>
      </c>
      <c r="P26" s="8" t="s">
        <v>115</v>
      </c>
      <c r="Q26" s="8" t="s">
        <v>130</v>
      </c>
      <c r="R26" s="8" t="s">
        <v>219</v>
      </c>
      <c r="S26" s="8" t="s">
        <v>129</v>
      </c>
      <c r="T26" s="8" t="s">
        <v>128</v>
      </c>
      <c r="U26" s="14">
        <v>45681</v>
      </c>
      <c r="V26" s="20">
        <v>45668</v>
      </c>
      <c r="W26" s="8" t="s">
        <v>129</v>
      </c>
      <c r="X26" s="8" t="str">
        <f t="shared" si="8"/>
        <v>ANIL ARORA/FSD/Exceedance/B737/25-01/11</v>
      </c>
      <c r="Y26" s="13" t="s">
        <v>248</v>
      </c>
      <c r="Z26" s="20">
        <v>45668</v>
      </c>
      <c r="AA26" s="8">
        <f t="shared" si="2"/>
        <v>13</v>
      </c>
    </row>
    <row r="27" spans="1:39" ht="15" customHeight="1" x14ac:dyDescent="0.2">
      <c r="A27" s="8">
        <v>26</v>
      </c>
      <c r="B27" s="8">
        <v>7760</v>
      </c>
      <c r="C27" s="14">
        <v>45668</v>
      </c>
      <c r="D27" s="8" t="s">
        <v>249</v>
      </c>
      <c r="E27" s="8" t="s">
        <v>250</v>
      </c>
      <c r="F27" s="8" t="s">
        <v>251</v>
      </c>
      <c r="G27" s="8" t="s">
        <v>252</v>
      </c>
      <c r="H27" s="8" t="s">
        <v>33</v>
      </c>
      <c r="I27" s="8" t="s">
        <v>38</v>
      </c>
      <c r="K27" s="8">
        <v>106</v>
      </c>
      <c r="L27" s="8" t="s">
        <v>26</v>
      </c>
      <c r="O27" s="8" t="s">
        <v>253</v>
      </c>
      <c r="P27" s="8" t="s">
        <v>115</v>
      </c>
      <c r="Q27" s="8" t="s">
        <v>130</v>
      </c>
      <c r="R27" s="8" t="s">
        <v>408</v>
      </c>
      <c r="S27" s="8" t="s">
        <v>129</v>
      </c>
      <c r="T27" s="8" t="s">
        <v>128</v>
      </c>
      <c r="U27" s="12">
        <v>45702</v>
      </c>
      <c r="V27" s="14">
        <v>45669</v>
      </c>
      <c r="W27" s="8" t="s">
        <v>129</v>
      </c>
      <c r="X27" s="8" t="str">
        <f t="shared" si="8"/>
        <v>SAHIL TALWAR/FSD/Exceedance/B737/25-01/12</v>
      </c>
      <c r="Y27" s="13" t="s">
        <v>254</v>
      </c>
      <c r="Z27" s="20">
        <v>45669</v>
      </c>
      <c r="AA27" s="8">
        <f t="shared" si="2"/>
        <v>33</v>
      </c>
    </row>
    <row r="28" spans="1:39" ht="15" customHeight="1" x14ac:dyDescent="0.2">
      <c r="A28" s="8">
        <v>27</v>
      </c>
      <c r="B28" s="8">
        <v>7761</v>
      </c>
      <c r="C28" s="14">
        <v>45668</v>
      </c>
      <c r="D28" s="8" t="s">
        <v>249</v>
      </c>
      <c r="E28" s="8" t="s">
        <v>250</v>
      </c>
      <c r="F28" s="8" t="s">
        <v>251</v>
      </c>
      <c r="G28" s="8" t="s">
        <v>252</v>
      </c>
      <c r="H28" s="8" t="s">
        <v>33</v>
      </c>
      <c r="I28" s="8" t="s">
        <v>39</v>
      </c>
      <c r="J28" s="8">
        <v>1</v>
      </c>
      <c r="K28" s="8">
        <v>1.82</v>
      </c>
      <c r="L28" s="8" t="s">
        <v>34</v>
      </c>
      <c r="O28" s="8" t="s">
        <v>253</v>
      </c>
      <c r="P28" s="8" t="s">
        <v>115</v>
      </c>
      <c r="Q28" s="8" t="s">
        <v>130</v>
      </c>
      <c r="R28" s="8" t="s">
        <v>408</v>
      </c>
      <c r="S28" s="8" t="s">
        <v>129</v>
      </c>
      <c r="T28" s="8" t="s">
        <v>128</v>
      </c>
      <c r="U28" s="12">
        <v>45702</v>
      </c>
      <c r="V28" s="14">
        <v>45669</v>
      </c>
      <c r="W28" s="8" t="s">
        <v>129</v>
      </c>
      <c r="X28" s="8" t="str">
        <f t="shared" si="8"/>
        <v>SAHIL TALWAR/FSD/Exceedance/B737/25-01/12</v>
      </c>
      <c r="Y28" s="13" t="s">
        <v>255</v>
      </c>
      <c r="Z28" s="20">
        <v>45669</v>
      </c>
      <c r="AA28" s="8">
        <f t="shared" si="2"/>
        <v>33</v>
      </c>
    </row>
    <row r="29" spans="1:39" ht="15" customHeight="1" x14ac:dyDescent="0.2">
      <c r="A29" s="8">
        <v>28</v>
      </c>
      <c r="B29" s="8">
        <v>7763</v>
      </c>
      <c r="C29" s="20">
        <v>45666</v>
      </c>
      <c r="D29" s="8" t="s">
        <v>256</v>
      </c>
      <c r="E29" s="8" t="s">
        <v>257</v>
      </c>
      <c r="F29" s="8" t="s">
        <v>258</v>
      </c>
      <c r="G29" s="8" t="s">
        <v>259</v>
      </c>
      <c r="H29" s="8" t="s">
        <v>260</v>
      </c>
      <c r="I29" s="8" t="s">
        <v>261</v>
      </c>
      <c r="J29" s="8">
        <v>30</v>
      </c>
      <c r="K29" s="8">
        <v>31.5</v>
      </c>
      <c r="L29" s="8" t="s">
        <v>202</v>
      </c>
      <c r="O29" s="8" t="s">
        <v>275</v>
      </c>
      <c r="P29" s="8" t="s">
        <v>115</v>
      </c>
      <c r="Q29" s="8" t="s">
        <v>130</v>
      </c>
      <c r="R29" s="8" t="s">
        <v>219</v>
      </c>
      <c r="S29" s="8" t="s">
        <v>129</v>
      </c>
      <c r="T29" s="8" t="s">
        <v>128</v>
      </c>
      <c r="U29" s="14">
        <v>45678</v>
      </c>
      <c r="V29" s="20">
        <v>45670</v>
      </c>
      <c r="W29" s="8" t="s">
        <v>129</v>
      </c>
      <c r="X29" s="8" t="str">
        <f t="shared" si="8"/>
        <v>TEJAS SALUJA/FSD/Exceedance/B737/25-01/13</v>
      </c>
      <c r="Y29" s="13" t="s">
        <v>280</v>
      </c>
      <c r="Z29" s="20">
        <v>45670</v>
      </c>
      <c r="AA29" s="8">
        <f t="shared" si="2"/>
        <v>8</v>
      </c>
    </row>
    <row r="30" spans="1:39" ht="15" customHeight="1" x14ac:dyDescent="0.2">
      <c r="A30" s="8">
        <v>29</v>
      </c>
      <c r="B30" s="8" t="s">
        <v>125</v>
      </c>
      <c r="C30" s="14">
        <v>45669</v>
      </c>
      <c r="D30" s="8" t="s">
        <v>66</v>
      </c>
      <c r="E30" s="8" t="s">
        <v>272</v>
      </c>
      <c r="F30" s="8" t="s">
        <v>273</v>
      </c>
      <c r="G30" s="8" t="s">
        <v>274</v>
      </c>
      <c r="H30" s="8" t="s">
        <v>216</v>
      </c>
      <c r="I30" s="8" t="s">
        <v>27</v>
      </c>
      <c r="J30" s="8" t="s">
        <v>28</v>
      </c>
      <c r="K30" s="8">
        <v>728</v>
      </c>
      <c r="L30" s="8" t="s">
        <v>26</v>
      </c>
      <c r="O30" s="8" t="s">
        <v>276</v>
      </c>
      <c r="P30" s="8" t="s">
        <v>123</v>
      </c>
      <c r="Q30" s="21" t="s">
        <v>125</v>
      </c>
      <c r="R30" s="21" t="s">
        <v>126</v>
      </c>
      <c r="S30" s="21" t="s">
        <v>125</v>
      </c>
      <c r="T30" s="21" t="s">
        <v>128</v>
      </c>
      <c r="U30" s="20">
        <f t="shared" ref="U30" si="9">(Z30+1)</f>
        <v>45671</v>
      </c>
      <c r="V30" s="8" t="s">
        <v>125</v>
      </c>
      <c r="W30" s="8" t="s">
        <v>129</v>
      </c>
      <c r="X30" s="8" t="s">
        <v>127</v>
      </c>
      <c r="Y30" s="13" t="s">
        <v>281</v>
      </c>
      <c r="Z30" s="20">
        <v>45670</v>
      </c>
      <c r="AA30" s="8">
        <v>0</v>
      </c>
      <c r="AM30" s="8">
        <v>1</v>
      </c>
    </row>
    <row r="31" spans="1:39" ht="15" customHeight="1" x14ac:dyDescent="0.2">
      <c r="A31" s="8">
        <v>30</v>
      </c>
      <c r="B31" s="8">
        <v>7766</v>
      </c>
      <c r="C31" s="14">
        <v>45669</v>
      </c>
      <c r="D31" s="8" t="s">
        <v>37</v>
      </c>
      <c r="E31" s="8" t="s">
        <v>262</v>
      </c>
      <c r="F31" s="8" t="s">
        <v>263</v>
      </c>
      <c r="G31" s="8" t="s">
        <v>224</v>
      </c>
      <c r="H31" s="8" t="s">
        <v>91</v>
      </c>
      <c r="I31" s="8" t="s">
        <v>264</v>
      </c>
      <c r="J31" s="8">
        <v>400</v>
      </c>
      <c r="K31" s="8">
        <v>344</v>
      </c>
      <c r="L31" s="8" t="s">
        <v>26</v>
      </c>
      <c r="M31" s="8" t="s">
        <v>418</v>
      </c>
      <c r="N31" s="8" t="s">
        <v>418</v>
      </c>
      <c r="O31" s="8" t="s">
        <v>277</v>
      </c>
      <c r="P31" s="8" t="s">
        <v>115</v>
      </c>
      <c r="Q31" s="8" t="s">
        <v>126</v>
      </c>
      <c r="R31" s="8" t="s">
        <v>418</v>
      </c>
      <c r="S31" s="8" t="s">
        <v>1066</v>
      </c>
      <c r="T31" s="8" t="s">
        <v>418</v>
      </c>
      <c r="U31" s="8" t="s">
        <v>418</v>
      </c>
      <c r="V31" s="20">
        <v>45670</v>
      </c>
      <c r="W31" s="8" t="s">
        <v>129</v>
      </c>
      <c r="X31" s="8" t="str">
        <f t="shared" si="8"/>
        <v>VINAYDEEP BILHATIYA/FSD/Exceedance/B737/25-01/15</v>
      </c>
      <c r="Y31" s="13" t="s">
        <v>282</v>
      </c>
      <c r="Z31" s="20">
        <v>45670</v>
      </c>
      <c r="AA31" s="8">
        <v>0</v>
      </c>
    </row>
    <row r="32" spans="1:39" ht="15" customHeight="1" x14ac:dyDescent="0.2">
      <c r="A32" s="8">
        <v>31</v>
      </c>
      <c r="B32" s="8">
        <v>7768</v>
      </c>
      <c r="C32" s="14">
        <v>45669</v>
      </c>
      <c r="D32" s="8" t="s">
        <v>168</v>
      </c>
      <c r="E32" s="8" t="s">
        <v>265</v>
      </c>
      <c r="F32" s="8" t="s">
        <v>263</v>
      </c>
      <c r="G32" s="8" t="s">
        <v>224</v>
      </c>
      <c r="H32" s="8" t="s">
        <v>266</v>
      </c>
      <c r="I32" s="8" t="s">
        <v>264</v>
      </c>
      <c r="J32" s="8">
        <v>400</v>
      </c>
      <c r="K32" s="8">
        <v>388</v>
      </c>
      <c r="L32" s="8" t="s">
        <v>26</v>
      </c>
      <c r="M32" s="8" t="s">
        <v>418</v>
      </c>
      <c r="N32" s="8" t="s">
        <v>418</v>
      </c>
      <c r="O32" s="8" t="s">
        <v>278</v>
      </c>
      <c r="P32" s="8" t="s">
        <v>115</v>
      </c>
      <c r="Q32" s="8" t="s">
        <v>126</v>
      </c>
      <c r="R32" s="8" t="s">
        <v>418</v>
      </c>
      <c r="S32" s="8" t="s">
        <v>1066</v>
      </c>
      <c r="T32" s="8" t="s">
        <v>418</v>
      </c>
      <c r="U32" s="8" t="s">
        <v>418</v>
      </c>
      <c r="V32" s="20">
        <v>45670</v>
      </c>
      <c r="W32" s="8" t="s">
        <v>129</v>
      </c>
      <c r="X32" s="8" t="str">
        <f t="shared" si="8"/>
        <v>VINAYDEEP BILHATIYA/FSD/Exceedance/B737/25-01/16</v>
      </c>
      <c r="Y32" s="13" t="s">
        <v>283</v>
      </c>
      <c r="Z32" s="20">
        <v>45670</v>
      </c>
      <c r="AA32" s="8">
        <v>0</v>
      </c>
    </row>
    <row r="33" spans="1:39" ht="15" customHeight="1" x14ac:dyDescent="0.2">
      <c r="A33" s="8">
        <v>32</v>
      </c>
      <c r="B33" s="8">
        <v>7767</v>
      </c>
      <c r="C33" s="14">
        <v>45669</v>
      </c>
      <c r="D33" s="8" t="s">
        <v>54</v>
      </c>
      <c r="E33" s="8" t="s">
        <v>267</v>
      </c>
      <c r="F33" s="8" t="s">
        <v>268</v>
      </c>
      <c r="G33" s="8" t="s">
        <v>269</v>
      </c>
      <c r="H33" s="8" t="s">
        <v>270</v>
      </c>
      <c r="I33" s="8" t="s">
        <v>38</v>
      </c>
      <c r="K33" s="8">
        <v>123</v>
      </c>
      <c r="L33" s="8" t="s">
        <v>26</v>
      </c>
      <c r="O33" s="8" t="s">
        <v>279</v>
      </c>
      <c r="P33" s="8" t="s">
        <v>115</v>
      </c>
      <c r="Q33" s="8" t="s">
        <v>130</v>
      </c>
      <c r="R33" s="8" t="s">
        <v>219</v>
      </c>
      <c r="S33" s="8" t="s">
        <v>129</v>
      </c>
      <c r="T33" s="8" t="s">
        <v>128</v>
      </c>
      <c r="U33" s="14">
        <v>45678</v>
      </c>
      <c r="V33" s="20">
        <v>45670</v>
      </c>
      <c r="W33" s="8" t="s">
        <v>129</v>
      </c>
      <c r="X33" s="8" t="str">
        <f t="shared" si="8"/>
        <v>CHIRAG PRAKASH VANWARI/FSD/Exceedance/B737/25-01/17</v>
      </c>
      <c r="Y33" s="13" t="s">
        <v>284</v>
      </c>
      <c r="Z33" s="20">
        <v>45670</v>
      </c>
      <c r="AA33" s="8">
        <f t="shared" si="2"/>
        <v>8</v>
      </c>
    </row>
    <row r="34" spans="1:39" ht="15" customHeight="1" x14ac:dyDescent="0.2">
      <c r="A34" s="8">
        <v>33</v>
      </c>
      <c r="B34" s="8">
        <v>7769</v>
      </c>
      <c r="C34" s="14">
        <v>45669</v>
      </c>
      <c r="D34" s="8" t="s">
        <v>54</v>
      </c>
      <c r="E34" s="8" t="s">
        <v>267</v>
      </c>
      <c r="F34" s="8" t="s">
        <v>268</v>
      </c>
      <c r="G34" s="8" t="s">
        <v>269</v>
      </c>
      <c r="H34" s="8" t="s">
        <v>270</v>
      </c>
      <c r="I34" s="8" t="s">
        <v>39</v>
      </c>
      <c r="J34" s="8">
        <v>1</v>
      </c>
      <c r="K34" s="8">
        <v>1.46</v>
      </c>
      <c r="L34" s="8" t="s">
        <v>271</v>
      </c>
      <c r="O34" s="8" t="s">
        <v>279</v>
      </c>
      <c r="P34" s="8" t="s">
        <v>115</v>
      </c>
      <c r="Q34" s="8" t="s">
        <v>130</v>
      </c>
      <c r="R34" s="8" t="s">
        <v>219</v>
      </c>
      <c r="S34" s="8" t="s">
        <v>129</v>
      </c>
      <c r="T34" s="8" t="s">
        <v>128</v>
      </c>
      <c r="U34" s="14">
        <v>45678</v>
      </c>
      <c r="V34" s="20">
        <v>45670</v>
      </c>
      <c r="W34" s="8" t="s">
        <v>129</v>
      </c>
      <c r="X34" s="8" t="str">
        <f t="shared" si="8"/>
        <v>CHIRAG PRAKASH VANWARI/FSD/Exceedance/B737/25-01/17</v>
      </c>
      <c r="Y34" s="13" t="s">
        <v>285</v>
      </c>
      <c r="Z34" s="20">
        <v>45670</v>
      </c>
      <c r="AA34" s="8">
        <f t="shared" si="2"/>
        <v>8</v>
      </c>
    </row>
    <row r="35" spans="1:39" ht="15" customHeight="1" x14ac:dyDescent="0.2">
      <c r="A35" s="8">
        <v>34</v>
      </c>
      <c r="B35" s="8">
        <v>7792</v>
      </c>
      <c r="C35" s="14">
        <v>45671</v>
      </c>
      <c r="D35" s="8" t="s">
        <v>249</v>
      </c>
      <c r="E35" s="8" t="s">
        <v>286</v>
      </c>
      <c r="F35" s="8" t="s">
        <v>146</v>
      </c>
      <c r="G35" s="8" t="s">
        <v>287</v>
      </c>
      <c r="H35" s="8" t="s">
        <v>288</v>
      </c>
      <c r="I35" s="8" t="s">
        <v>289</v>
      </c>
      <c r="J35" s="8">
        <v>0.3</v>
      </c>
      <c r="K35" s="8">
        <v>0.2</v>
      </c>
      <c r="L35" s="8" t="s">
        <v>36</v>
      </c>
      <c r="O35" s="8" t="s">
        <v>297</v>
      </c>
      <c r="P35" s="8" t="s">
        <v>115</v>
      </c>
      <c r="Q35" s="8" t="s">
        <v>130</v>
      </c>
      <c r="R35" s="8" t="s">
        <v>219</v>
      </c>
      <c r="S35" s="8" t="s">
        <v>129</v>
      </c>
      <c r="T35" s="8" t="s">
        <v>128</v>
      </c>
      <c r="U35" s="14">
        <v>45678</v>
      </c>
      <c r="V35" s="14">
        <v>45673</v>
      </c>
      <c r="W35" s="8" t="s">
        <v>129</v>
      </c>
      <c r="X35" s="8" t="str">
        <f t="shared" si="8"/>
        <v>RAJIV MOHAN/FSD/Exceedance/B737/25-01/18</v>
      </c>
      <c r="Y35" s="13" t="s">
        <v>295</v>
      </c>
      <c r="Z35" s="20">
        <v>45673</v>
      </c>
      <c r="AA35" s="8">
        <f t="shared" si="2"/>
        <v>5</v>
      </c>
    </row>
    <row r="36" spans="1:39" ht="15" customHeight="1" x14ac:dyDescent="0.2">
      <c r="A36" s="8">
        <v>35</v>
      </c>
      <c r="B36" s="8" t="s">
        <v>125</v>
      </c>
      <c r="C36" s="14">
        <v>45672</v>
      </c>
      <c r="D36" s="8" t="s">
        <v>30</v>
      </c>
      <c r="E36" s="8" t="s">
        <v>290</v>
      </c>
      <c r="F36" s="8" t="s">
        <v>291</v>
      </c>
      <c r="G36" s="8" t="s">
        <v>292</v>
      </c>
      <c r="H36" s="8" t="s">
        <v>293</v>
      </c>
      <c r="I36" s="8" t="s">
        <v>27</v>
      </c>
      <c r="J36" s="8" t="s">
        <v>294</v>
      </c>
      <c r="K36" s="8">
        <v>703</v>
      </c>
      <c r="L36" s="8" t="s">
        <v>26</v>
      </c>
      <c r="O36" s="8" t="s">
        <v>298</v>
      </c>
      <c r="P36" s="8" t="s">
        <v>123</v>
      </c>
      <c r="Q36" s="21" t="s">
        <v>125</v>
      </c>
      <c r="R36" s="21" t="s">
        <v>126</v>
      </c>
      <c r="S36" s="21" t="s">
        <v>125</v>
      </c>
      <c r="T36" s="21" t="s">
        <v>128</v>
      </c>
      <c r="U36" s="20">
        <f t="shared" ref="U36:U42" si="10">(Z36+1)</f>
        <v>45674</v>
      </c>
      <c r="V36" s="8" t="s">
        <v>125</v>
      </c>
      <c r="W36" s="8" t="s">
        <v>129</v>
      </c>
      <c r="X36" s="8" t="s">
        <v>127</v>
      </c>
      <c r="Y36" s="13" t="s">
        <v>296</v>
      </c>
      <c r="Z36" s="20">
        <v>45673</v>
      </c>
      <c r="AA36" s="8">
        <v>0</v>
      </c>
      <c r="AM36" s="8">
        <v>1</v>
      </c>
    </row>
    <row r="37" spans="1:39" ht="15" customHeight="1" x14ac:dyDescent="0.2">
      <c r="A37" s="8">
        <v>36</v>
      </c>
      <c r="B37" s="8" t="s">
        <v>125</v>
      </c>
      <c r="C37" s="14">
        <v>45672</v>
      </c>
      <c r="D37" s="8" t="s">
        <v>144</v>
      </c>
      <c r="E37" s="8" t="s">
        <v>286</v>
      </c>
      <c r="F37" s="8" t="s">
        <v>299</v>
      </c>
      <c r="G37" s="8" t="s">
        <v>300</v>
      </c>
      <c r="H37" s="8" t="s">
        <v>301</v>
      </c>
      <c r="I37" s="8" t="s">
        <v>24</v>
      </c>
      <c r="J37" s="8">
        <v>1050</v>
      </c>
      <c r="K37" s="8">
        <v>1110</v>
      </c>
      <c r="L37" s="8" t="s">
        <v>25</v>
      </c>
      <c r="O37" s="8" t="s">
        <v>125</v>
      </c>
      <c r="P37" s="8" t="s">
        <v>123</v>
      </c>
      <c r="Q37" s="21" t="s">
        <v>125</v>
      </c>
      <c r="R37" s="21" t="s">
        <v>126</v>
      </c>
      <c r="S37" s="21" t="s">
        <v>125</v>
      </c>
      <c r="T37" s="21" t="s">
        <v>128</v>
      </c>
      <c r="U37" s="20">
        <f t="shared" si="10"/>
        <v>45675</v>
      </c>
      <c r="V37" s="8" t="s">
        <v>125</v>
      </c>
      <c r="W37" s="8" t="s">
        <v>129</v>
      </c>
      <c r="X37" s="8" t="s">
        <v>127</v>
      </c>
      <c r="Y37" s="13" t="s">
        <v>306</v>
      </c>
      <c r="Z37" s="20">
        <v>45674</v>
      </c>
      <c r="AA37" s="8">
        <v>0</v>
      </c>
      <c r="AM37" s="8">
        <v>1</v>
      </c>
    </row>
    <row r="38" spans="1:39" ht="15" customHeight="1" x14ac:dyDescent="0.2">
      <c r="A38" s="8">
        <v>37</v>
      </c>
      <c r="B38" s="8" t="s">
        <v>125</v>
      </c>
      <c r="C38" s="14">
        <v>45673</v>
      </c>
      <c r="D38" s="8" t="s">
        <v>37</v>
      </c>
      <c r="E38" s="8" t="s">
        <v>302</v>
      </c>
      <c r="F38" s="8" t="s">
        <v>41</v>
      </c>
      <c r="G38" s="8" t="s">
        <v>303</v>
      </c>
      <c r="H38" s="8" t="s">
        <v>304</v>
      </c>
      <c r="I38" s="8" t="s">
        <v>27</v>
      </c>
      <c r="J38" s="8" t="s">
        <v>28</v>
      </c>
      <c r="K38" s="8">
        <v>768</v>
      </c>
      <c r="L38" s="8" t="s">
        <v>26</v>
      </c>
      <c r="O38" s="8" t="s">
        <v>305</v>
      </c>
      <c r="P38" s="8" t="s">
        <v>157</v>
      </c>
      <c r="Q38" s="21" t="s">
        <v>125</v>
      </c>
      <c r="R38" s="21" t="s">
        <v>126</v>
      </c>
      <c r="S38" s="21" t="s">
        <v>125</v>
      </c>
      <c r="T38" s="21" t="s">
        <v>128</v>
      </c>
      <c r="U38" s="20">
        <f t="shared" si="10"/>
        <v>45675</v>
      </c>
      <c r="V38" s="8" t="s">
        <v>125</v>
      </c>
      <c r="W38" s="8" t="s">
        <v>129</v>
      </c>
      <c r="X38" s="8" t="s">
        <v>127</v>
      </c>
      <c r="Y38" s="13" t="s">
        <v>307</v>
      </c>
      <c r="Z38" s="20">
        <v>45674</v>
      </c>
      <c r="AA38" s="8">
        <v>0</v>
      </c>
      <c r="AM38" s="8">
        <v>1</v>
      </c>
    </row>
    <row r="39" spans="1:39" ht="15" customHeight="1" x14ac:dyDescent="0.2">
      <c r="A39" s="8">
        <v>38</v>
      </c>
      <c r="B39" s="8" t="s">
        <v>125</v>
      </c>
      <c r="C39" s="14">
        <v>45673</v>
      </c>
      <c r="D39" s="8" t="s">
        <v>249</v>
      </c>
      <c r="E39" s="8" t="s">
        <v>321</v>
      </c>
      <c r="F39" s="8" t="s">
        <v>322</v>
      </c>
      <c r="G39" s="8" t="s">
        <v>215</v>
      </c>
      <c r="H39" s="8" t="s">
        <v>55</v>
      </c>
      <c r="I39" s="8" t="s">
        <v>57</v>
      </c>
      <c r="J39" s="8">
        <v>30</v>
      </c>
      <c r="K39" s="8">
        <v>31.6</v>
      </c>
      <c r="L39" s="8" t="s">
        <v>271</v>
      </c>
      <c r="O39" s="8" t="s">
        <v>125</v>
      </c>
      <c r="P39" s="8" t="s">
        <v>123</v>
      </c>
      <c r="Q39" s="21" t="s">
        <v>125</v>
      </c>
      <c r="R39" s="21" t="s">
        <v>126</v>
      </c>
      <c r="S39" s="21" t="s">
        <v>125</v>
      </c>
      <c r="T39" s="21" t="s">
        <v>128</v>
      </c>
      <c r="U39" s="20">
        <f t="shared" si="10"/>
        <v>45678</v>
      </c>
      <c r="V39" s="8" t="s">
        <v>125</v>
      </c>
      <c r="W39" s="8" t="s">
        <v>129</v>
      </c>
      <c r="X39" s="8" t="s">
        <v>127</v>
      </c>
      <c r="Y39" s="13" t="s">
        <v>323</v>
      </c>
      <c r="Z39" s="20">
        <v>45677</v>
      </c>
      <c r="AA39" s="8">
        <v>0</v>
      </c>
      <c r="AM39" s="8">
        <v>1</v>
      </c>
    </row>
    <row r="40" spans="1:39" ht="15" customHeight="1" x14ac:dyDescent="0.2">
      <c r="A40" s="8">
        <v>39</v>
      </c>
      <c r="B40" s="8" t="s">
        <v>125</v>
      </c>
      <c r="C40" s="14">
        <v>45675</v>
      </c>
      <c r="D40" s="8" t="s">
        <v>168</v>
      </c>
      <c r="E40" s="8" t="s">
        <v>239</v>
      </c>
      <c r="F40" s="8" t="s">
        <v>240</v>
      </c>
      <c r="G40" s="8" t="s">
        <v>308</v>
      </c>
      <c r="H40" s="8" t="s">
        <v>77</v>
      </c>
      <c r="I40" s="8" t="s">
        <v>27</v>
      </c>
      <c r="J40" s="8" t="s">
        <v>28</v>
      </c>
      <c r="K40" s="8" t="s">
        <v>309</v>
      </c>
      <c r="L40" s="8" t="s">
        <v>26</v>
      </c>
      <c r="O40" s="8" t="s">
        <v>320</v>
      </c>
      <c r="P40" s="8" t="s">
        <v>157</v>
      </c>
      <c r="Q40" s="21" t="s">
        <v>125</v>
      </c>
      <c r="R40" s="21" t="s">
        <v>126</v>
      </c>
      <c r="S40" s="21" t="s">
        <v>125</v>
      </c>
      <c r="T40" s="21" t="s">
        <v>128</v>
      </c>
      <c r="U40" s="20">
        <f t="shared" si="10"/>
        <v>45678</v>
      </c>
      <c r="V40" s="8" t="s">
        <v>125</v>
      </c>
      <c r="W40" s="8" t="s">
        <v>129</v>
      </c>
      <c r="X40" s="8" t="s">
        <v>127</v>
      </c>
      <c r="Y40" s="13" t="s">
        <v>317</v>
      </c>
      <c r="Z40" s="20">
        <v>45677</v>
      </c>
      <c r="AA40" s="8">
        <v>0</v>
      </c>
      <c r="AM40" s="8">
        <v>1</v>
      </c>
    </row>
    <row r="41" spans="1:39" ht="15" customHeight="1" x14ac:dyDescent="0.2">
      <c r="A41" s="8">
        <v>40</v>
      </c>
      <c r="B41" s="8" t="s">
        <v>125</v>
      </c>
      <c r="C41" s="14">
        <v>45675</v>
      </c>
      <c r="D41" s="8" t="s">
        <v>168</v>
      </c>
      <c r="E41" s="8" t="s">
        <v>310</v>
      </c>
      <c r="F41" s="8" t="s">
        <v>311</v>
      </c>
      <c r="G41" s="8" t="s">
        <v>312</v>
      </c>
      <c r="H41" s="8" t="s">
        <v>91</v>
      </c>
      <c r="I41" s="8" t="s">
        <v>313</v>
      </c>
      <c r="K41" s="8">
        <v>403</v>
      </c>
      <c r="L41" s="8" t="s">
        <v>26</v>
      </c>
      <c r="O41" s="8" t="s">
        <v>125</v>
      </c>
      <c r="P41" s="8" t="s">
        <v>123</v>
      </c>
      <c r="Q41" s="21" t="s">
        <v>125</v>
      </c>
      <c r="R41" s="21" t="s">
        <v>126</v>
      </c>
      <c r="S41" s="21" t="s">
        <v>125</v>
      </c>
      <c r="T41" s="21" t="s">
        <v>128</v>
      </c>
      <c r="U41" s="20">
        <f t="shared" si="10"/>
        <v>45678</v>
      </c>
      <c r="V41" s="8" t="s">
        <v>125</v>
      </c>
      <c r="W41" s="8" t="s">
        <v>129</v>
      </c>
      <c r="X41" s="8" t="s">
        <v>127</v>
      </c>
      <c r="Y41" s="13" t="s">
        <v>318</v>
      </c>
      <c r="Z41" s="20">
        <v>45677</v>
      </c>
      <c r="AA41" s="8">
        <v>0</v>
      </c>
      <c r="AM41" s="8">
        <v>1</v>
      </c>
    </row>
    <row r="42" spans="1:39" ht="15" customHeight="1" x14ac:dyDescent="0.2">
      <c r="A42" s="8">
        <v>41</v>
      </c>
      <c r="B42" s="8" t="s">
        <v>125</v>
      </c>
      <c r="C42" s="14">
        <v>45676</v>
      </c>
      <c r="D42" s="8" t="s">
        <v>168</v>
      </c>
      <c r="E42" s="8" t="s">
        <v>314</v>
      </c>
      <c r="F42" s="8" t="s">
        <v>315</v>
      </c>
      <c r="G42" s="8" t="s">
        <v>194</v>
      </c>
      <c r="H42" s="8" t="s">
        <v>316</v>
      </c>
      <c r="I42" s="8" t="s">
        <v>196</v>
      </c>
      <c r="J42" s="8">
        <v>4</v>
      </c>
      <c r="K42" s="8">
        <v>4.4000000000000004</v>
      </c>
      <c r="L42" s="8" t="s">
        <v>197</v>
      </c>
      <c r="O42" s="8" t="s">
        <v>125</v>
      </c>
      <c r="P42" s="8" t="s">
        <v>123</v>
      </c>
      <c r="Q42" s="21" t="s">
        <v>125</v>
      </c>
      <c r="R42" s="21" t="s">
        <v>126</v>
      </c>
      <c r="S42" s="21" t="s">
        <v>125</v>
      </c>
      <c r="T42" s="21" t="s">
        <v>128</v>
      </c>
      <c r="U42" s="20">
        <f t="shared" si="10"/>
        <v>45678</v>
      </c>
      <c r="V42" s="8" t="s">
        <v>125</v>
      </c>
      <c r="W42" s="8" t="s">
        <v>129</v>
      </c>
      <c r="X42" s="8" t="s">
        <v>127</v>
      </c>
      <c r="Y42" s="13" t="s">
        <v>319</v>
      </c>
      <c r="Z42" s="20">
        <v>45677</v>
      </c>
      <c r="AA42" s="8">
        <v>0</v>
      </c>
      <c r="AM42" s="8">
        <v>1</v>
      </c>
    </row>
    <row r="43" spans="1:39" ht="15" customHeight="1" x14ac:dyDescent="0.2">
      <c r="A43" s="8">
        <v>42</v>
      </c>
      <c r="B43" s="8">
        <v>7818</v>
      </c>
      <c r="C43" s="14">
        <v>45674</v>
      </c>
      <c r="D43" s="8" t="s">
        <v>66</v>
      </c>
      <c r="E43" s="8" t="s">
        <v>324</v>
      </c>
      <c r="F43" s="8" t="s">
        <v>111</v>
      </c>
      <c r="G43" s="8" t="s">
        <v>112</v>
      </c>
      <c r="H43" s="8" t="s">
        <v>325</v>
      </c>
      <c r="I43" s="8" t="s">
        <v>326</v>
      </c>
      <c r="J43" s="8">
        <v>65770</v>
      </c>
      <c r="K43" s="8">
        <v>66080</v>
      </c>
      <c r="L43" s="8" t="s">
        <v>327</v>
      </c>
      <c r="O43" s="8" t="s">
        <v>329</v>
      </c>
      <c r="P43" s="8" t="s">
        <v>203</v>
      </c>
      <c r="Q43" s="8" t="s">
        <v>126</v>
      </c>
      <c r="R43" s="8" t="s">
        <v>408</v>
      </c>
      <c r="S43" s="8" t="s">
        <v>129</v>
      </c>
      <c r="T43" s="8" t="s">
        <v>128</v>
      </c>
      <c r="U43" s="14">
        <v>45695</v>
      </c>
      <c r="V43" s="14">
        <v>45678</v>
      </c>
      <c r="W43" s="8" t="s">
        <v>129</v>
      </c>
      <c r="X43" s="8" t="str">
        <f t="shared" ref="X43" si="11">G43&amp;AB$1&amp;O43</f>
        <v>ANAND MURTHY TIWARI/FSD/Exceedance/B737/25-01/22</v>
      </c>
      <c r="Y43" s="13" t="s">
        <v>328</v>
      </c>
      <c r="Z43" s="20">
        <v>45678</v>
      </c>
      <c r="AA43" s="8">
        <f t="shared" si="2"/>
        <v>17</v>
      </c>
    </row>
    <row r="44" spans="1:39" ht="15" customHeight="1" x14ac:dyDescent="0.2">
      <c r="A44" s="8">
        <v>43</v>
      </c>
      <c r="B44" s="8" t="s">
        <v>125</v>
      </c>
      <c r="C44" s="14">
        <v>45677</v>
      </c>
      <c r="D44" s="8" t="s">
        <v>30</v>
      </c>
      <c r="E44" s="8" t="s">
        <v>330</v>
      </c>
      <c r="F44" s="8" t="s">
        <v>331</v>
      </c>
      <c r="G44" s="8" t="s">
        <v>134</v>
      </c>
      <c r="H44" s="8" t="s">
        <v>332</v>
      </c>
      <c r="I44" s="8" t="s">
        <v>313</v>
      </c>
      <c r="K44" s="8">
        <v>24</v>
      </c>
      <c r="L44" s="8" t="s">
        <v>26</v>
      </c>
      <c r="O44" s="8" t="s">
        <v>125</v>
      </c>
      <c r="P44" s="8" t="s">
        <v>123</v>
      </c>
      <c r="Q44" s="21" t="s">
        <v>125</v>
      </c>
      <c r="R44" s="21" t="s">
        <v>126</v>
      </c>
      <c r="S44" s="21" t="s">
        <v>125</v>
      </c>
      <c r="T44" s="21" t="s">
        <v>128</v>
      </c>
      <c r="U44" s="20">
        <f t="shared" ref="U44:U48" si="12">(Z44+1)</f>
        <v>45680</v>
      </c>
      <c r="V44" s="8" t="s">
        <v>125</v>
      </c>
      <c r="W44" s="8" t="s">
        <v>129</v>
      </c>
      <c r="X44" s="8" t="s">
        <v>127</v>
      </c>
      <c r="Y44" s="13" t="s">
        <v>333</v>
      </c>
      <c r="Z44" s="20">
        <v>45679</v>
      </c>
      <c r="AA44" s="8">
        <v>0</v>
      </c>
      <c r="AM44" s="8">
        <v>1</v>
      </c>
    </row>
    <row r="45" spans="1:39" ht="15" customHeight="1" x14ac:dyDescent="0.2">
      <c r="A45" s="8">
        <v>44</v>
      </c>
      <c r="B45" s="8" t="s">
        <v>125</v>
      </c>
      <c r="C45" s="14">
        <v>45678</v>
      </c>
      <c r="D45" s="8" t="s">
        <v>131</v>
      </c>
      <c r="E45" s="8" t="s">
        <v>272</v>
      </c>
      <c r="F45" s="8" t="s">
        <v>273</v>
      </c>
      <c r="G45" s="8" t="s">
        <v>334</v>
      </c>
      <c r="H45" s="8" t="s">
        <v>335</v>
      </c>
      <c r="I45" s="8" t="s">
        <v>57</v>
      </c>
      <c r="J45" s="8">
        <v>30</v>
      </c>
      <c r="K45" s="8">
        <v>32.200000000000003</v>
      </c>
      <c r="L45" s="8" t="s">
        <v>36</v>
      </c>
      <c r="O45" s="8" t="s">
        <v>125</v>
      </c>
      <c r="P45" s="13" t="s">
        <v>123</v>
      </c>
      <c r="Q45" s="21" t="s">
        <v>125</v>
      </c>
      <c r="R45" s="21" t="s">
        <v>126</v>
      </c>
      <c r="S45" s="21" t="s">
        <v>125</v>
      </c>
      <c r="T45" s="21" t="s">
        <v>128</v>
      </c>
      <c r="U45" s="20">
        <f t="shared" si="12"/>
        <v>45681</v>
      </c>
      <c r="V45" s="8" t="s">
        <v>125</v>
      </c>
      <c r="W45" s="8" t="s">
        <v>129</v>
      </c>
      <c r="X45" s="8" t="s">
        <v>127</v>
      </c>
      <c r="Y45" s="13" t="s">
        <v>338</v>
      </c>
      <c r="Z45" s="20">
        <v>45680</v>
      </c>
      <c r="AA45" s="8">
        <v>0</v>
      </c>
      <c r="AM45" s="8">
        <v>1</v>
      </c>
    </row>
    <row r="46" spans="1:39" ht="15" customHeight="1" x14ac:dyDescent="0.2">
      <c r="A46" s="8">
        <v>45</v>
      </c>
      <c r="B46" s="8" t="s">
        <v>125</v>
      </c>
      <c r="C46" s="14">
        <v>45679</v>
      </c>
      <c r="D46" s="8" t="s">
        <v>66</v>
      </c>
      <c r="E46" s="8" t="s">
        <v>164</v>
      </c>
      <c r="F46" s="8" t="s">
        <v>165</v>
      </c>
      <c r="G46" s="8" t="s">
        <v>336</v>
      </c>
      <c r="H46" s="8" t="s">
        <v>337</v>
      </c>
      <c r="I46" s="8" t="s">
        <v>313</v>
      </c>
      <c r="K46" s="8">
        <v>25</v>
      </c>
      <c r="L46" s="8" t="s">
        <v>26</v>
      </c>
      <c r="O46" s="8" t="s">
        <v>125</v>
      </c>
      <c r="P46" s="13" t="s">
        <v>123</v>
      </c>
      <c r="Q46" s="21" t="s">
        <v>125</v>
      </c>
      <c r="R46" s="21" t="s">
        <v>126</v>
      </c>
      <c r="S46" s="21" t="s">
        <v>125</v>
      </c>
      <c r="T46" s="21" t="s">
        <v>128</v>
      </c>
      <c r="U46" s="20">
        <f t="shared" si="12"/>
        <v>45681</v>
      </c>
      <c r="V46" s="8" t="s">
        <v>125</v>
      </c>
      <c r="W46" s="8" t="s">
        <v>129</v>
      </c>
      <c r="X46" s="8" t="s">
        <v>127</v>
      </c>
      <c r="Y46" s="13" t="s">
        <v>339</v>
      </c>
      <c r="Z46" s="20">
        <v>45680</v>
      </c>
      <c r="AA46" s="8">
        <v>0</v>
      </c>
      <c r="AM46" s="8">
        <v>1</v>
      </c>
    </row>
    <row r="47" spans="1:39" ht="15" customHeight="1" x14ac:dyDescent="0.2">
      <c r="A47" s="8">
        <v>46</v>
      </c>
      <c r="B47" s="8" t="s">
        <v>125</v>
      </c>
      <c r="C47" s="14">
        <v>45680</v>
      </c>
      <c r="D47" s="8" t="s">
        <v>30</v>
      </c>
      <c r="E47" s="8" t="s">
        <v>340</v>
      </c>
      <c r="F47" s="8" t="s">
        <v>341</v>
      </c>
      <c r="G47" s="8" t="s">
        <v>342</v>
      </c>
      <c r="H47" s="8" t="s">
        <v>343</v>
      </c>
      <c r="I47" s="8" t="s">
        <v>344</v>
      </c>
      <c r="J47" s="8" t="s">
        <v>294</v>
      </c>
      <c r="K47" s="8">
        <v>557</v>
      </c>
      <c r="L47" s="8" t="s">
        <v>26</v>
      </c>
      <c r="O47" s="8" t="s">
        <v>357</v>
      </c>
      <c r="P47" s="13" t="s">
        <v>123</v>
      </c>
      <c r="Q47" s="21" t="s">
        <v>125</v>
      </c>
      <c r="R47" s="21" t="s">
        <v>126</v>
      </c>
      <c r="S47" s="21" t="s">
        <v>125</v>
      </c>
      <c r="T47" s="21" t="s">
        <v>128</v>
      </c>
      <c r="U47" s="20">
        <f t="shared" si="12"/>
        <v>45682</v>
      </c>
      <c r="V47" s="8" t="s">
        <v>125</v>
      </c>
      <c r="W47" s="8" t="s">
        <v>129</v>
      </c>
      <c r="X47" s="8" t="s">
        <v>127</v>
      </c>
      <c r="Y47" s="13" t="s">
        <v>349</v>
      </c>
      <c r="Z47" s="20">
        <v>45681</v>
      </c>
      <c r="AA47" s="8">
        <v>0</v>
      </c>
      <c r="AM47" s="8">
        <v>1</v>
      </c>
    </row>
    <row r="48" spans="1:39" ht="15" customHeight="1" x14ac:dyDescent="0.2">
      <c r="A48" s="8">
        <v>47</v>
      </c>
      <c r="B48" s="8" t="s">
        <v>125</v>
      </c>
      <c r="C48" s="14">
        <v>45680</v>
      </c>
      <c r="D48" s="8" t="s">
        <v>30</v>
      </c>
      <c r="E48" s="8" t="s">
        <v>340</v>
      </c>
      <c r="F48" s="8" t="s">
        <v>341</v>
      </c>
      <c r="G48" s="8" t="s">
        <v>342</v>
      </c>
      <c r="H48" s="8" t="s">
        <v>343</v>
      </c>
      <c r="I48" s="8" t="s">
        <v>345</v>
      </c>
      <c r="J48" s="8" t="s">
        <v>294</v>
      </c>
      <c r="K48" s="8">
        <v>168</v>
      </c>
      <c r="L48" s="8" t="s">
        <v>26</v>
      </c>
      <c r="O48" s="8" t="s">
        <v>357</v>
      </c>
      <c r="P48" s="13" t="s">
        <v>123</v>
      </c>
      <c r="Q48" s="21" t="s">
        <v>125</v>
      </c>
      <c r="R48" s="21" t="s">
        <v>126</v>
      </c>
      <c r="S48" s="21" t="s">
        <v>125</v>
      </c>
      <c r="T48" s="21" t="s">
        <v>128</v>
      </c>
      <c r="U48" s="20">
        <f t="shared" si="12"/>
        <v>45682</v>
      </c>
      <c r="V48" s="8" t="s">
        <v>125</v>
      </c>
      <c r="W48" s="8" t="s">
        <v>129</v>
      </c>
      <c r="X48" s="8" t="s">
        <v>127</v>
      </c>
      <c r="Y48" s="13" t="s">
        <v>350</v>
      </c>
      <c r="Z48" s="20">
        <v>45681</v>
      </c>
      <c r="AA48" s="8">
        <v>0</v>
      </c>
      <c r="AM48" s="8">
        <v>1</v>
      </c>
    </row>
    <row r="49" spans="1:39" s="13" customFormat="1" ht="15" customHeight="1" x14ac:dyDescent="0.2">
      <c r="A49" s="13">
        <v>48</v>
      </c>
      <c r="B49" s="13">
        <v>7845</v>
      </c>
      <c r="C49" s="12">
        <v>45680</v>
      </c>
      <c r="D49" s="13" t="s">
        <v>30</v>
      </c>
      <c r="E49" s="13" t="s">
        <v>340</v>
      </c>
      <c r="F49" s="13" t="s">
        <v>341</v>
      </c>
      <c r="G49" s="13" t="s">
        <v>342</v>
      </c>
      <c r="H49" s="13" t="s">
        <v>343</v>
      </c>
      <c r="I49" s="13" t="s">
        <v>84</v>
      </c>
      <c r="J49" s="13">
        <v>175</v>
      </c>
      <c r="K49" s="13">
        <v>183</v>
      </c>
      <c r="L49" s="13" t="s">
        <v>42</v>
      </c>
      <c r="O49" s="13" t="s">
        <v>357</v>
      </c>
      <c r="P49" s="13" t="s">
        <v>115</v>
      </c>
      <c r="Q49" s="13" t="s">
        <v>130</v>
      </c>
      <c r="R49" s="13" t="s">
        <v>408</v>
      </c>
      <c r="S49" s="8" t="s">
        <v>129</v>
      </c>
      <c r="T49" s="8" t="s">
        <v>128</v>
      </c>
      <c r="U49" s="12">
        <v>45699</v>
      </c>
      <c r="V49" s="15">
        <v>45681</v>
      </c>
      <c r="W49" s="8" t="s">
        <v>129</v>
      </c>
      <c r="X49" s="13" t="str">
        <f t="shared" ref="X49:X51" si="13">G49&amp;AB$1&amp;O49</f>
        <v>TANMAY GANESH KELUSKAR/FSD/Exceedance/B737/25-01/23</v>
      </c>
      <c r="Y49" s="13" t="s">
        <v>351</v>
      </c>
      <c r="Z49" s="15">
        <v>45681</v>
      </c>
      <c r="AA49" s="8">
        <f t="shared" si="2"/>
        <v>18</v>
      </c>
    </row>
    <row r="50" spans="1:39" s="13" customFormat="1" ht="15" customHeight="1" x14ac:dyDescent="0.2">
      <c r="A50" s="13">
        <v>49</v>
      </c>
      <c r="B50" s="13">
        <v>7846</v>
      </c>
      <c r="C50" s="12">
        <v>45680</v>
      </c>
      <c r="D50" s="13" t="s">
        <v>30</v>
      </c>
      <c r="E50" s="13" t="s">
        <v>340</v>
      </c>
      <c r="F50" s="13" t="s">
        <v>341</v>
      </c>
      <c r="G50" s="13" t="s">
        <v>342</v>
      </c>
      <c r="H50" s="13" t="s">
        <v>343</v>
      </c>
      <c r="I50" s="13" t="s">
        <v>24</v>
      </c>
      <c r="J50" s="13">
        <v>1100</v>
      </c>
      <c r="K50" s="13">
        <v>1230</v>
      </c>
      <c r="L50" s="13" t="s">
        <v>25</v>
      </c>
      <c r="O50" s="13" t="s">
        <v>357</v>
      </c>
      <c r="P50" s="13" t="s">
        <v>115</v>
      </c>
      <c r="Q50" s="13" t="s">
        <v>130</v>
      </c>
      <c r="R50" s="13" t="s">
        <v>408</v>
      </c>
      <c r="S50" s="8" t="s">
        <v>129</v>
      </c>
      <c r="T50" s="13" t="s">
        <v>128</v>
      </c>
      <c r="U50" s="12">
        <v>45699</v>
      </c>
      <c r="V50" s="15">
        <v>45683</v>
      </c>
      <c r="W50" s="13" t="s">
        <v>129</v>
      </c>
      <c r="X50" s="13" t="str">
        <f t="shared" si="13"/>
        <v>TANMAY GANESH KELUSKAR/FSD/Exceedance/B737/25-01/23</v>
      </c>
      <c r="Y50" s="13" t="s">
        <v>352</v>
      </c>
      <c r="Z50" s="15">
        <v>45681</v>
      </c>
      <c r="AA50" s="8">
        <f t="shared" si="2"/>
        <v>16</v>
      </c>
    </row>
    <row r="51" spans="1:39" s="13" customFormat="1" ht="15" customHeight="1" x14ac:dyDescent="0.2">
      <c r="A51" s="13">
        <v>50</v>
      </c>
      <c r="B51" s="13">
        <v>7847</v>
      </c>
      <c r="C51" s="12">
        <v>45680</v>
      </c>
      <c r="D51" s="13" t="s">
        <v>30</v>
      </c>
      <c r="E51" s="13" t="s">
        <v>340</v>
      </c>
      <c r="F51" s="13" t="s">
        <v>341</v>
      </c>
      <c r="G51" s="13" t="s">
        <v>342</v>
      </c>
      <c r="H51" s="13" t="s">
        <v>343</v>
      </c>
      <c r="I51" s="13" t="s">
        <v>24</v>
      </c>
      <c r="J51" s="13">
        <v>1100</v>
      </c>
      <c r="K51" s="13">
        <v>1320</v>
      </c>
      <c r="L51" s="13" t="s">
        <v>25</v>
      </c>
      <c r="O51" s="13" t="s">
        <v>357</v>
      </c>
      <c r="P51" s="13" t="s">
        <v>115</v>
      </c>
      <c r="Q51" s="13" t="s">
        <v>130</v>
      </c>
      <c r="R51" s="13" t="s">
        <v>408</v>
      </c>
      <c r="S51" s="8" t="s">
        <v>129</v>
      </c>
      <c r="T51" s="8" t="s">
        <v>128</v>
      </c>
      <c r="U51" s="12">
        <v>45699</v>
      </c>
      <c r="V51" s="15">
        <v>45683</v>
      </c>
      <c r="W51" s="8" t="s">
        <v>129</v>
      </c>
      <c r="X51" s="13" t="str">
        <f t="shared" si="13"/>
        <v>TANMAY GANESH KELUSKAR/FSD/Exceedance/B737/25-01/23</v>
      </c>
      <c r="Y51" s="13" t="s">
        <v>353</v>
      </c>
      <c r="Z51" s="15">
        <v>45681</v>
      </c>
      <c r="AA51" s="8">
        <f t="shared" si="2"/>
        <v>16</v>
      </c>
    </row>
    <row r="52" spans="1:39" ht="15" customHeight="1" x14ac:dyDescent="0.2">
      <c r="A52" s="8">
        <v>51</v>
      </c>
      <c r="B52" s="8" t="s">
        <v>125</v>
      </c>
      <c r="C52" s="14">
        <v>45680</v>
      </c>
      <c r="D52" s="8" t="s">
        <v>168</v>
      </c>
      <c r="E52" s="8" t="s">
        <v>346</v>
      </c>
      <c r="F52" s="8" t="s">
        <v>347</v>
      </c>
      <c r="G52" s="8" t="s">
        <v>287</v>
      </c>
      <c r="H52" s="8" t="s">
        <v>348</v>
      </c>
      <c r="I52" s="8" t="s">
        <v>344</v>
      </c>
      <c r="J52" s="8" t="s">
        <v>294</v>
      </c>
      <c r="K52" s="8">
        <v>458</v>
      </c>
      <c r="L52" s="8" t="s">
        <v>26</v>
      </c>
      <c r="O52" s="8" t="s">
        <v>358</v>
      </c>
      <c r="P52" s="8" t="s">
        <v>157</v>
      </c>
      <c r="Q52" s="21" t="s">
        <v>125</v>
      </c>
      <c r="R52" s="21" t="s">
        <v>126</v>
      </c>
      <c r="S52" s="21" t="s">
        <v>125</v>
      </c>
      <c r="T52" s="21" t="s">
        <v>128</v>
      </c>
      <c r="U52" s="20">
        <f t="shared" ref="U52:U54" si="14">(Z52+1)</f>
        <v>45682</v>
      </c>
      <c r="V52" s="8" t="s">
        <v>125</v>
      </c>
      <c r="W52" s="8" t="s">
        <v>129</v>
      </c>
      <c r="X52" s="8" t="s">
        <v>127</v>
      </c>
      <c r="Y52" s="13" t="s">
        <v>354</v>
      </c>
      <c r="Z52" s="20">
        <v>45681</v>
      </c>
      <c r="AA52" s="8">
        <v>0</v>
      </c>
      <c r="AM52" s="8">
        <v>1</v>
      </c>
    </row>
    <row r="53" spans="1:39" ht="15" customHeight="1" x14ac:dyDescent="0.2">
      <c r="A53" s="8">
        <v>52</v>
      </c>
      <c r="B53" s="8" t="s">
        <v>125</v>
      </c>
      <c r="C53" s="14">
        <v>45680</v>
      </c>
      <c r="D53" s="8" t="s">
        <v>168</v>
      </c>
      <c r="E53" s="8" t="s">
        <v>346</v>
      </c>
      <c r="F53" s="8" t="s">
        <v>347</v>
      </c>
      <c r="G53" s="8" t="s">
        <v>287</v>
      </c>
      <c r="H53" s="8" t="s">
        <v>348</v>
      </c>
      <c r="I53" s="8" t="s">
        <v>345</v>
      </c>
      <c r="J53" s="8" t="s">
        <v>294</v>
      </c>
      <c r="K53" s="8">
        <v>674</v>
      </c>
      <c r="L53" s="8" t="s">
        <v>26</v>
      </c>
      <c r="O53" s="8" t="s">
        <v>358</v>
      </c>
      <c r="P53" s="8" t="s">
        <v>157</v>
      </c>
      <c r="Q53" s="21" t="s">
        <v>125</v>
      </c>
      <c r="R53" s="21" t="s">
        <v>126</v>
      </c>
      <c r="S53" s="21" t="s">
        <v>125</v>
      </c>
      <c r="T53" s="21" t="s">
        <v>128</v>
      </c>
      <c r="U53" s="20">
        <f t="shared" si="14"/>
        <v>45682</v>
      </c>
      <c r="V53" s="8" t="s">
        <v>125</v>
      </c>
      <c r="W53" s="8" t="s">
        <v>129</v>
      </c>
      <c r="X53" s="8" t="s">
        <v>127</v>
      </c>
      <c r="Y53" s="13" t="s">
        <v>355</v>
      </c>
      <c r="Z53" s="20">
        <v>45681</v>
      </c>
      <c r="AA53" s="8">
        <v>0</v>
      </c>
      <c r="AM53" s="8">
        <v>1</v>
      </c>
    </row>
    <row r="54" spans="1:39" ht="15" customHeight="1" x14ac:dyDescent="0.2">
      <c r="A54" s="8">
        <v>53</v>
      </c>
      <c r="B54" s="8" t="s">
        <v>125</v>
      </c>
      <c r="C54" s="14">
        <v>45680</v>
      </c>
      <c r="D54" s="8" t="s">
        <v>168</v>
      </c>
      <c r="E54" s="8" t="s">
        <v>346</v>
      </c>
      <c r="F54" s="8" t="s">
        <v>347</v>
      </c>
      <c r="G54" s="8" t="s">
        <v>287</v>
      </c>
      <c r="H54" s="8" t="s">
        <v>348</v>
      </c>
      <c r="I54" s="8" t="s">
        <v>313</v>
      </c>
      <c r="K54" s="8">
        <v>110</v>
      </c>
      <c r="L54" s="8" t="s">
        <v>26</v>
      </c>
      <c r="O54" s="8" t="s">
        <v>125</v>
      </c>
      <c r="P54" s="13" t="s">
        <v>123</v>
      </c>
      <c r="Q54" s="21" t="s">
        <v>125</v>
      </c>
      <c r="R54" s="21" t="s">
        <v>126</v>
      </c>
      <c r="S54" s="21" t="s">
        <v>125</v>
      </c>
      <c r="T54" s="21" t="s">
        <v>128</v>
      </c>
      <c r="U54" s="20">
        <f t="shared" si="14"/>
        <v>45682</v>
      </c>
      <c r="V54" s="8" t="s">
        <v>125</v>
      </c>
      <c r="W54" s="8" t="s">
        <v>129</v>
      </c>
      <c r="X54" s="8" t="s">
        <v>127</v>
      </c>
      <c r="Y54" s="13" t="s">
        <v>356</v>
      </c>
      <c r="Z54" s="20">
        <v>45681</v>
      </c>
      <c r="AA54" s="8">
        <v>0</v>
      </c>
      <c r="AM54" s="8">
        <v>1</v>
      </c>
    </row>
    <row r="55" spans="1:39" ht="15" customHeight="1" x14ac:dyDescent="0.2">
      <c r="A55" s="8">
        <v>54</v>
      </c>
      <c r="B55" s="8">
        <v>7838</v>
      </c>
      <c r="C55" s="14">
        <v>45679</v>
      </c>
      <c r="D55" s="8" t="s">
        <v>249</v>
      </c>
      <c r="E55" s="8" t="s">
        <v>359</v>
      </c>
      <c r="F55" s="8" t="s">
        <v>360</v>
      </c>
      <c r="G55" s="8" t="s">
        <v>361</v>
      </c>
      <c r="H55" s="8" t="s">
        <v>195</v>
      </c>
      <c r="I55" s="8" t="s">
        <v>38</v>
      </c>
      <c r="K55" s="8">
        <v>171</v>
      </c>
      <c r="L55" s="8" t="s">
        <v>26</v>
      </c>
      <c r="O55" s="8" t="s">
        <v>367</v>
      </c>
      <c r="P55" s="8" t="s">
        <v>115</v>
      </c>
      <c r="Q55" s="8" t="s">
        <v>130</v>
      </c>
      <c r="R55" s="8" t="s">
        <v>408</v>
      </c>
      <c r="S55" s="8" t="s">
        <v>129</v>
      </c>
      <c r="T55" s="21" t="s">
        <v>128</v>
      </c>
      <c r="U55" s="14">
        <v>45687</v>
      </c>
      <c r="V55" s="20">
        <v>45682</v>
      </c>
      <c r="W55" s="8" t="s">
        <v>129</v>
      </c>
      <c r="X55" s="8" t="str">
        <f t="shared" ref="X55:X56" si="15">G55&amp;AB$1&amp;O55</f>
        <v>SNEHA SHEKHAWAT/FSD/Exceedance/B737/25-01/25</v>
      </c>
      <c r="Y55" s="13" t="s">
        <v>369</v>
      </c>
      <c r="Z55" s="20">
        <v>45682</v>
      </c>
      <c r="AA55" s="8">
        <f t="shared" si="2"/>
        <v>5</v>
      </c>
    </row>
    <row r="56" spans="1:39" ht="15" customHeight="1" x14ac:dyDescent="0.2">
      <c r="A56" s="8">
        <v>55</v>
      </c>
      <c r="B56" s="8">
        <v>7839</v>
      </c>
      <c r="C56" s="14">
        <v>45679</v>
      </c>
      <c r="D56" s="8" t="s">
        <v>249</v>
      </c>
      <c r="E56" s="8" t="s">
        <v>359</v>
      </c>
      <c r="F56" s="8" t="s">
        <v>360</v>
      </c>
      <c r="G56" s="8" t="s">
        <v>361</v>
      </c>
      <c r="H56" s="8" t="s">
        <v>195</v>
      </c>
      <c r="I56" s="8" t="s">
        <v>39</v>
      </c>
      <c r="J56" s="8">
        <v>1</v>
      </c>
      <c r="K56" s="8">
        <v>1.3</v>
      </c>
      <c r="L56" s="8" t="s">
        <v>34</v>
      </c>
      <c r="O56" s="8" t="s">
        <v>367</v>
      </c>
      <c r="P56" s="8" t="s">
        <v>115</v>
      </c>
      <c r="Q56" s="8" t="s">
        <v>130</v>
      </c>
      <c r="R56" s="8" t="s">
        <v>408</v>
      </c>
      <c r="S56" s="8" t="s">
        <v>129</v>
      </c>
      <c r="T56" s="21" t="s">
        <v>128</v>
      </c>
      <c r="U56" s="14">
        <v>45687</v>
      </c>
      <c r="V56" s="20">
        <v>45682</v>
      </c>
      <c r="W56" s="8" t="s">
        <v>129</v>
      </c>
      <c r="X56" s="8" t="str">
        <f t="shared" si="15"/>
        <v>SNEHA SHEKHAWAT/FSD/Exceedance/B737/25-01/25</v>
      </c>
      <c r="Y56" s="13" t="s">
        <v>370</v>
      </c>
      <c r="Z56" s="20">
        <v>45682</v>
      </c>
      <c r="AA56" s="8">
        <f t="shared" si="2"/>
        <v>5</v>
      </c>
    </row>
    <row r="57" spans="1:39" ht="15" customHeight="1" x14ac:dyDescent="0.2">
      <c r="A57" s="8">
        <v>56</v>
      </c>
      <c r="B57" s="8" t="s">
        <v>125</v>
      </c>
      <c r="C57" s="14">
        <v>45677</v>
      </c>
      <c r="D57" s="8" t="s">
        <v>249</v>
      </c>
      <c r="E57" s="8" t="s">
        <v>362</v>
      </c>
      <c r="F57" s="8" t="s">
        <v>363</v>
      </c>
      <c r="G57" s="8" t="s">
        <v>364</v>
      </c>
      <c r="H57" s="8" t="s">
        <v>365</v>
      </c>
      <c r="I57" s="8" t="s">
        <v>27</v>
      </c>
      <c r="J57" s="8" t="s">
        <v>28</v>
      </c>
      <c r="K57" s="8" t="s">
        <v>366</v>
      </c>
      <c r="L57" s="8" t="s">
        <v>26</v>
      </c>
      <c r="O57" s="8" t="s">
        <v>368</v>
      </c>
      <c r="P57" s="8" t="s">
        <v>123</v>
      </c>
      <c r="Q57" s="21" t="s">
        <v>125</v>
      </c>
      <c r="R57" s="21" t="s">
        <v>126</v>
      </c>
      <c r="S57" s="21" t="s">
        <v>125</v>
      </c>
      <c r="T57" s="21" t="s">
        <v>128</v>
      </c>
      <c r="U57" s="20">
        <f t="shared" ref="U57" si="16">(Z57+1)</f>
        <v>45683</v>
      </c>
      <c r="V57" s="8" t="s">
        <v>125</v>
      </c>
      <c r="W57" s="8" t="s">
        <v>129</v>
      </c>
      <c r="X57" s="8" t="s">
        <v>127</v>
      </c>
      <c r="Y57" s="13" t="s">
        <v>371</v>
      </c>
      <c r="Z57" s="20">
        <v>45682</v>
      </c>
      <c r="AA57" s="8">
        <v>0</v>
      </c>
      <c r="AM57" s="8">
        <v>1</v>
      </c>
    </row>
    <row r="58" spans="1:39" ht="15" customHeight="1" x14ac:dyDescent="0.2">
      <c r="A58" s="8">
        <v>57</v>
      </c>
      <c r="B58" s="8">
        <v>7840</v>
      </c>
      <c r="C58" s="14">
        <v>45677</v>
      </c>
      <c r="D58" s="8" t="s">
        <v>249</v>
      </c>
      <c r="E58" s="8" t="s">
        <v>362</v>
      </c>
      <c r="F58" s="8" t="s">
        <v>363</v>
      </c>
      <c r="G58" s="8" t="s">
        <v>364</v>
      </c>
      <c r="H58" s="8" t="s">
        <v>365</v>
      </c>
      <c r="I58" s="8" t="s">
        <v>53</v>
      </c>
      <c r="J58" s="8">
        <v>300</v>
      </c>
      <c r="K58" s="8">
        <v>15</v>
      </c>
      <c r="L58" s="8" t="s">
        <v>25</v>
      </c>
      <c r="O58" s="8" t="s">
        <v>368</v>
      </c>
      <c r="P58" s="8" t="s">
        <v>115</v>
      </c>
      <c r="Q58" s="8" t="s">
        <v>130</v>
      </c>
      <c r="R58" s="8" t="s">
        <v>408</v>
      </c>
      <c r="S58" s="8" t="s">
        <v>129</v>
      </c>
      <c r="T58" s="21" t="s">
        <v>128</v>
      </c>
      <c r="U58" s="14">
        <v>45687</v>
      </c>
      <c r="V58" s="20">
        <v>45682</v>
      </c>
      <c r="W58" s="8" t="s">
        <v>129</v>
      </c>
      <c r="X58" s="8" t="str">
        <f t="shared" ref="X58:X60" si="17">G58&amp;AB$1&amp;O58</f>
        <v>ADITYA KOLHATKAR/FSD/Exceedance/B737/25-01/26</v>
      </c>
      <c r="Y58" s="13" t="s">
        <v>372</v>
      </c>
      <c r="Z58" s="20">
        <v>45682</v>
      </c>
      <c r="AA58" s="8">
        <f t="shared" si="2"/>
        <v>5</v>
      </c>
    </row>
    <row r="59" spans="1:39" ht="15" customHeight="1" x14ac:dyDescent="0.2">
      <c r="A59" s="8">
        <v>58</v>
      </c>
      <c r="B59" s="8" t="s">
        <v>125</v>
      </c>
      <c r="C59" s="14">
        <v>45682</v>
      </c>
      <c r="D59" s="8" t="s">
        <v>249</v>
      </c>
      <c r="E59" s="8" t="s">
        <v>286</v>
      </c>
      <c r="F59" s="8" t="s">
        <v>373</v>
      </c>
      <c r="G59" s="8" t="s">
        <v>374</v>
      </c>
      <c r="H59" s="8" t="s">
        <v>375</v>
      </c>
      <c r="I59" s="8" t="s">
        <v>313</v>
      </c>
      <c r="K59" s="8">
        <v>33</v>
      </c>
      <c r="L59" s="8" t="s">
        <v>26</v>
      </c>
      <c r="O59" s="8" t="s">
        <v>125</v>
      </c>
      <c r="P59" s="8" t="s">
        <v>123</v>
      </c>
      <c r="Q59" s="21" t="s">
        <v>125</v>
      </c>
      <c r="R59" s="21" t="s">
        <v>126</v>
      </c>
      <c r="S59" s="21" t="s">
        <v>125</v>
      </c>
      <c r="T59" s="21" t="s">
        <v>128</v>
      </c>
      <c r="U59" s="20">
        <f t="shared" ref="U59" si="18">(Z59+1)</f>
        <v>45684</v>
      </c>
      <c r="V59" s="8" t="s">
        <v>125</v>
      </c>
      <c r="W59" s="8" t="s">
        <v>129</v>
      </c>
      <c r="X59" s="8" t="s">
        <v>127</v>
      </c>
      <c r="Y59" s="13" t="s">
        <v>376</v>
      </c>
      <c r="Z59" s="20">
        <v>45683</v>
      </c>
      <c r="AA59" s="8">
        <v>0</v>
      </c>
      <c r="AM59" s="8">
        <v>1</v>
      </c>
    </row>
    <row r="60" spans="1:39" ht="15" customHeight="1" x14ac:dyDescent="0.2">
      <c r="A60" s="8">
        <v>59</v>
      </c>
      <c r="B60" s="8">
        <v>7859</v>
      </c>
      <c r="C60" s="14">
        <v>45682</v>
      </c>
      <c r="D60" s="8" t="s">
        <v>168</v>
      </c>
      <c r="E60" s="8" t="s">
        <v>377</v>
      </c>
      <c r="F60" s="8" t="s">
        <v>258</v>
      </c>
      <c r="G60" s="8" t="s">
        <v>378</v>
      </c>
      <c r="H60" s="8" t="s">
        <v>379</v>
      </c>
      <c r="I60" s="8" t="s">
        <v>53</v>
      </c>
      <c r="J60" s="8">
        <v>300</v>
      </c>
      <c r="K60" s="8">
        <v>225</v>
      </c>
      <c r="L60" s="8" t="s">
        <v>25</v>
      </c>
      <c r="O60" s="8" t="s">
        <v>399</v>
      </c>
      <c r="P60" s="8" t="s">
        <v>115</v>
      </c>
      <c r="Q60" s="8" t="s">
        <v>130</v>
      </c>
      <c r="R60" s="8" t="s">
        <v>408</v>
      </c>
      <c r="S60" s="8" t="s">
        <v>129</v>
      </c>
      <c r="T60" s="8" t="s">
        <v>128</v>
      </c>
      <c r="U60" s="20">
        <v>45695</v>
      </c>
      <c r="V60" s="20">
        <v>45684</v>
      </c>
      <c r="W60" s="8" t="s">
        <v>129</v>
      </c>
      <c r="X60" s="8" t="str">
        <f t="shared" si="17"/>
        <v>ALKESH AJAYKUMAR NAIR/FSD/Exceedance/B737/25-01/27</v>
      </c>
      <c r="Y60" s="13" t="s">
        <v>394</v>
      </c>
      <c r="Z60" s="20">
        <v>45684</v>
      </c>
      <c r="AA60" s="8">
        <f t="shared" si="2"/>
        <v>11</v>
      </c>
    </row>
    <row r="61" spans="1:39" ht="15" customHeight="1" x14ac:dyDescent="0.2">
      <c r="A61" s="8">
        <v>60</v>
      </c>
      <c r="B61" s="8" t="s">
        <v>125</v>
      </c>
      <c r="C61" s="20">
        <v>45679</v>
      </c>
      <c r="D61" s="8" t="s">
        <v>139</v>
      </c>
      <c r="E61" s="8" t="s">
        <v>380</v>
      </c>
      <c r="F61" s="8" t="s">
        <v>363</v>
      </c>
      <c r="G61" s="8" t="s">
        <v>364</v>
      </c>
      <c r="H61" s="8" t="s">
        <v>381</v>
      </c>
      <c r="I61" s="8" t="s">
        <v>136</v>
      </c>
      <c r="J61" s="8" t="s">
        <v>382</v>
      </c>
      <c r="K61" s="8" t="s">
        <v>383</v>
      </c>
      <c r="L61" s="8" t="s">
        <v>42</v>
      </c>
      <c r="O61" s="8" t="s">
        <v>125</v>
      </c>
      <c r="P61" s="8" t="s">
        <v>123</v>
      </c>
      <c r="Q61" s="21" t="s">
        <v>125</v>
      </c>
      <c r="R61" s="21" t="s">
        <v>126</v>
      </c>
      <c r="S61" s="21" t="s">
        <v>125</v>
      </c>
      <c r="T61" s="21" t="s">
        <v>128</v>
      </c>
      <c r="U61" s="20">
        <f t="shared" ref="U61:U71" si="19">(Z61+1)</f>
        <v>45685</v>
      </c>
      <c r="V61" s="8" t="s">
        <v>125</v>
      </c>
      <c r="W61" s="8" t="s">
        <v>129</v>
      </c>
      <c r="X61" s="8" t="s">
        <v>127</v>
      </c>
      <c r="Y61" s="13" t="s">
        <v>395</v>
      </c>
      <c r="Z61" s="20">
        <v>45684</v>
      </c>
      <c r="AA61" s="8">
        <v>0</v>
      </c>
      <c r="AM61" s="8">
        <v>1</v>
      </c>
    </row>
    <row r="62" spans="1:39" ht="15" customHeight="1" x14ac:dyDescent="0.2">
      <c r="A62" s="8">
        <v>61</v>
      </c>
      <c r="B62" s="8" t="s">
        <v>125</v>
      </c>
      <c r="C62" s="20">
        <v>45682</v>
      </c>
      <c r="D62" s="8" t="s">
        <v>249</v>
      </c>
      <c r="E62" s="8" t="s">
        <v>384</v>
      </c>
      <c r="F62" s="8" t="s">
        <v>385</v>
      </c>
      <c r="G62" s="8" t="s">
        <v>259</v>
      </c>
      <c r="H62" s="8" t="s">
        <v>386</v>
      </c>
      <c r="I62" s="8" t="s">
        <v>57</v>
      </c>
      <c r="J62" s="8">
        <v>30</v>
      </c>
      <c r="K62" s="8">
        <v>31.5</v>
      </c>
      <c r="L62" s="8" t="s">
        <v>36</v>
      </c>
      <c r="O62" s="8" t="s">
        <v>125</v>
      </c>
      <c r="P62" s="8" t="s">
        <v>123</v>
      </c>
      <c r="Q62" s="21" t="s">
        <v>125</v>
      </c>
      <c r="R62" s="21" t="s">
        <v>126</v>
      </c>
      <c r="S62" s="21" t="s">
        <v>125</v>
      </c>
      <c r="T62" s="21" t="s">
        <v>128</v>
      </c>
      <c r="U62" s="20">
        <f t="shared" si="19"/>
        <v>45685</v>
      </c>
      <c r="V62" s="8" t="s">
        <v>125</v>
      </c>
      <c r="W62" s="8" t="s">
        <v>129</v>
      </c>
      <c r="X62" s="8" t="s">
        <v>127</v>
      </c>
      <c r="Y62" s="13" t="s">
        <v>396</v>
      </c>
      <c r="Z62" s="20">
        <v>45684</v>
      </c>
      <c r="AA62" s="8">
        <v>0</v>
      </c>
      <c r="AM62" s="8">
        <v>1</v>
      </c>
    </row>
    <row r="63" spans="1:39" ht="15" customHeight="1" x14ac:dyDescent="0.2">
      <c r="A63" s="8">
        <v>62</v>
      </c>
      <c r="B63" s="8" t="s">
        <v>125</v>
      </c>
      <c r="C63" s="14">
        <v>45677</v>
      </c>
      <c r="D63" s="8" t="s">
        <v>144</v>
      </c>
      <c r="E63" s="8" t="s">
        <v>387</v>
      </c>
      <c r="F63" s="8" t="s">
        <v>388</v>
      </c>
      <c r="G63" s="8" t="s">
        <v>194</v>
      </c>
      <c r="H63" s="8" t="s">
        <v>389</v>
      </c>
      <c r="I63" s="8" t="s">
        <v>196</v>
      </c>
      <c r="J63" s="8">
        <v>4</v>
      </c>
      <c r="K63" s="8">
        <v>4.0999999999999996</v>
      </c>
      <c r="L63" s="8" t="s">
        <v>197</v>
      </c>
      <c r="O63" s="8" t="s">
        <v>125</v>
      </c>
      <c r="P63" s="8" t="s">
        <v>123</v>
      </c>
      <c r="Q63" s="21" t="s">
        <v>125</v>
      </c>
      <c r="R63" s="21" t="s">
        <v>126</v>
      </c>
      <c r="S63" s="21" t="s">
        <v>125</v>
      </c>
      <c r="T63" s="21" t="s">
        <v>128</v>
      </c>
      <c r="U63" s="20">
        <f t="shared" si="19"/>
        <v>45685</v>
      </c>
      <c r="V63" s="8" t="s">
        <v>125</v>
      </c>
      <c r="W63" s="8" t="s">
        <v>129</v>
      </c>
      <c r="X63" s="8" t="s">
        <v>127</v>
      </c>
      <c r="Y63" s="13" t="s">
        <v>397</v>
      </c>
      <c r="Z63" s="20">
        <v>45684</v>
      </c>
      <c r="AA63" s="8">
        <v>0</v>
      </c>
      <c r="AM63" s="8">
        <v>1</v>
      </c>
    </row>
    <row r="64" spans="1:39" ht="15" customHeight="1" x14ac:dyDescent="0.2">
      <c r="A64" s="8">
        <v>63</v>
      </c>
      <c r="B64" s="8" t="s">
        <v>125</v>
      </c>
      <c r="C64" s="14">
        <v>45680</v>
      </c>
      <c r="D64" s="8" t="s">
        <v>54</v>
      </c>
      <c r="E64" s="8" t="s">
        <v>267</v>
      </c>
      <c r="F64" s="8" t="s">
        <v>268</v>
      </c>
      <c r="G64" s="8" t="s">
        <v>390</v>
      </c>
      <c r="H64" s="8" t="s">
        <v>88</v>
      </c>
      <c r="I64" s="8" t="s">
        <v>391</v>
      </c>
      <c r="J64" s="8" t="s">
        <v>392</v>
      </c>
      <c r="K64" s="8" t="s">
        <v>393</v>
      </c>
      <c r="L64" s="8" t="s">
        <v>42</v>
      </c>
      <c r="O64" s="8" t="s">
        <v>125</v>
      </c>
      <c r="P64" s="8" t="s">
        <v>123</v>
      </c>
      <c r="Q64" s="21" t="s">
        <v>125</v>
      </c>
      <c r="R64" s="21" t="s">
        <v>126</v>
      </c>
      <c r="S64" s="21" t="s">
        <v>125</v>
      </c>
      <c r="T64" s="21" t="s">
        <v>128</v>
      </c>
      <c r="U64" s="20">
        <f t="shared" si="19"/>
        <v>45685</v>
      </c>
      <c r="V64" s="8" t="s">
        <v>125</v>
      </c>
      <c r="W64" s="8" t="s">
        <v>129</v>
      </c>
      <c r="X64" s="8" t="s">
        <v>127</v>
      </c>
      <c r="Y64" s="13" t="s">
        <v>398</v>
      </c>
      <c r="Z64" s="20">
        <v>45684</v>
      </c>
      <c r="AA64" s="8">
        <v>0</v>
      </c>
      <c r="AM64" s="8">
        <v>1</v>
      </c>
    </row>
    <row r="65" spans="1:39" ht="15" customHeight="1" x14ac:dyDescent="0.2">
      <c r="A65" s="8">
        <v>64</v>
      </c>
      <c r="B65" s="8" t="s">
        <v>125</v>
      </c>
      <c r="C65" s="14">
        <v>45684</v>
      </c>
      <c r="D65" s="8" t="s">
        <v>249</v>
      </c>
      <c r="E65" s="8" t="s">
        <v>286</v>
      </c>
      <c r="F65" s="8" t="s">
        <v>373</v>
      </c>
      <c r="G65" s="8" t="s">
        <v>374</v>
      </c>
      <c r="H65" s="8" t="s">
        <v>400</v>
      </c>
      <c r="I65" s="8" t="s">
        <v>24</v>
      </c>
      <c r="J65" s="8">
        <v>1050</v>
      </c>
      <c r="K65" s="8">
        <v>1215</v>
      </c>
      <c r="L65" s="8" t="s">
        <v>25</v>
      </c>
      <c r="O65" s="8" t="s">
        <v>125</v>
      </c>
      <c r="P65" s="8" t="s">
        <v>123</v>
      </c>
      <c r="Q65" s="21" t="s">
        <v>125</v>
      </c>
      <c r="R65" s="21" t="s">
        <v>126</v>
      </c>
      <c r="S65" s="21" t="s">
        <v>125</v>
      </c>
      <c r="T65" s="21" t="s">
        <v>128</v>
      </c>
      <c r="U65" s="20">
        <f t="shared" si="19"/>
        <v>45686</v>
      </c>
      <c r="V65" s="8" t="s">
        <v>125</v>
      </c>
      <c r="W65" s="8" t="s">
        <v>129</v>
      </c>
      <c r="X65" s="8" t="s">
        <v>127</v>
      </c>
      <c r="Y65" s="13" t="s">
        <v>405</v>
      </c>
      <c r="Z65" s="20">
        <v>45685</v>
      </c>
      <c r="AA65" s="8">
        <v>0</v>
      </c>
      <c r="AM65" s="8">
        <v>1</v>
      </c>
    </row>
    <row r="66" spans="1:39" ht="15" customHeight="1" x14ac:dyDescent="0.2">
      <c r="A66" s="8">
        <v>65</v>
      </c>
      <c r="B66" s="8">
        <v>7865</v>
      </c>
      <c r="C66" s="14">
        <v>45684</v>
      </c>
      <c r="D66" s="8" t="s">
        <v>144</v>
      </c>
      <c r="E66" s="8" t="s">
        <v>401</v>
      </c>
      <c r="F66" s="8" t="s">
        <v>402</v>
      </c>
      <c r="G66" s="8" t="s">
        <v>378</v>
      </c>
      <c r="H66" s="8" t="s">
        <v>332</v>
      </c>
      <c r="I66" s="8" t="s">
        <v>403</v>
      </c>
      <c r="J66" s="8">
        <v>10</v>
      </c>
      <c r="K66" s="8">
        <v>17</v>
      </c>
      <c r="L66" s="8" t="s">
        <v>404</v>
      </c>
      <c r="O66" s="8" t="s">
        <v>407</v>
      </c>
      <c r="P66" s="8" t="s">
        <v>115</v>
      </c>
      <c r="Q66" s="8" t="s">
        <v>130</v>
      </c>
      <c r="R66" s="8" t="s">
        <v>408</v>
      </c>
      <c r="S66" s="8" t="s">
        <v>129</v>
      </c>
      <c r="T66" s="8" t="s">
        <v>128</v>
      </c>
      <c r="U66" s="14">
        <v>45687</v>
      </c>
      <c r="V66" s="20">
        <v>45685</v>
      </c>
      <c r="W66" s="8" t="s">
        <v>129</v>
      </c>
      <c r="X66" s="8" t="str">
        <f t="shared" ref="X66" si="20">G66&amp;AB$1&amp;O66</f>
        <v>ALKESH AJAYKUMAR NAIR/FSD/Exceedance/B737/25-01/28</v>
      </c>
      <c r="Y66" s="13" t="s">
        <v>406</v>
      </c>
      <c r="Z66" s="20">
        <v>45685</v>
      </c>
      <c r="AA66" s="8">
        <f t="shared" si="2"/>
        <v>2</v>
      </c>
    </row>
    <row r="67" spans="1:39" ht="15" customHeight="1" x14ac:dyDescent="0.2">
      <c r="A67" s="8">
        <v>66</v>
      </c>
      <c r="B67" s="8" t="s">
        <v>125</v>
      </c>
      <c r="C67" s="20">
        <v>45686</v>
      </c>
      <c r="D67" s="8" t="s">
        <v>139</v>
      </c>
      <c r="E67" s="8" t="s">
        <v>150</v>
      </c>
      <c r="F67" s="8" t="s">
        <v>111</v>
      </c>
      <c r="G67" s="8" t="s">
        <v>186</v>
      </c>
      <c r="H67" s="8" t="s">
        <v>386</v>
      </c>
      <c r="I67" s="8" t="s">
        <v>24</v>
      </c>
      <c r="J67" s="8">
        <v>1050</v>
      </c>
      <c r="K67" s="8">
        <v>1140</v>
      </c>
      <c r="L67" s="8" t="s">
        <v>25</v>
      </c>
      <c r="O67" s="8" t="s">
        <v>125</v>
      </c>
      <c r="P67" s="8" t="s">
        <v>123</v>
      </c>
      <c r="Q67" s="21" t="s">
        <v>125</v>
      </c>
      <c r="R67" s="21" t="s">
        <v>126</v>
      </c>
      <c r="S67" s="21" t="s">
        <v>125</v>
      </c>
      <c r="T67" s="21" t="s">
        <v>128</v>
      </c>
      <c r="U67" s="20">
        <f t="shared" si="19"/>
        <v>45688</v>
      </c>
      <c r="V67" s="8" t="s">
        <v>125</v>
      </c>
      <c r="W67" s="8" t="s">
        <v>129</v>
      </c>
      <c r="X67" s="8" t="s">
        <v>127</v>
      </c>
      <c r="Y67" s="13" t="s">
        <v>409</v>
      </c>
      <c r="Z67" s="20">
        <v>45687</v>
      </c>
      <c r="AA67" s="8">
        <v>0</v>
      </c>
      <c r="AM67" s="8">
        <v>1</v>
      </c>
    </row>
    <row r="68" spans="1:39" ht="15" customHeight="1" x14ac:dyDescent="0.2">
      <c r="A68" s="8">
        <v>67</v>
      </c>
      <c r="B68" s="8" t="s">
        <v>125</v>
      </c>
      <c r="C68" s="20">
        <v>45686</v>
      </c>
      <c r="D68" s="8" t="s">
        <v>66</v>
      </c>
      <c r="E68" s="8" t="s">
        <v>198</v>
      </c>
      <c r="F68" s="8" t="s">
        <v>199</v>
      </c>
      <c r="G68" s="8" t="s">
        <v>364</v>
      </c>
      <c r="H68" s="8" t="s">
        <v>179</v>
      </c>
      <c r="I68" s="8" t="s">
        <v>57</v>
      </c>
      <c r="J68" s="8">
        <v>30</v>
      </c>
      <c r="K68" s="8">
        <v>31.1</v>
      </c>
      <c r="L68" s="8" t="s">
        <v>36</v>
      </c>
      <c r="O68" s="8" t="s">
        <v>125</v>
      </c>
      <c r="P68" s="8" t="s">
        <v>123</v>
      </c>
      <c r="Q68" s="21" t="s">
        <v>125</v>
      </c>
      <c r="R68" s="21" t="s">
        <v>126</v>
      </c>
      <c r="S68" s="21" t="s">
        <v>125</v>
      </c>
      <c r="T68" s="21" t="s">
        <v>128</v>
      </c>
      <c r="U68" s="20">
        <f t="shared" si="19"/>
        <v>45688</v>
      </c>
      <c r="V68" s="8" t="s">
        <v>125</v>
      </c>
      <c r="W68" s="8" t="s">
        <v>129</v>
      </c>
      <c r="X68" s="8" t="s">
        <v>127</v>
      </c>
      <c r="Y68" s="13" t="s">
        <v>410</v>
      </c>
      <c r="Z68" s="20">
        <v>45687</v>
      </c>
      <c r="AA68" s="8">
        <v>0</v>
      </c>
      <c r="AM68" s="8">
        <v>1</v>
      </c>
    </row>
    <row r="69" spans="1:39" ht="15" customHeight="1" x14ac:dyDescent="0.2">
      <c r="A69" s="8">
        <v>68</v>
      </c>
      <c r="B69" s="8">
        <v>7883</v>
      </c>
      <c r="C69" s="14">
        <v>45687</v>
      </c>
      <c r="D69" s="8" t="s">
        <v>144</v>
      </c>
      <c r="E69" s="8" t="s">
        <v>286</v>
      </c>
      <c r="F69" s="8" t="s">
        <v>373</v>
      </c>
      <c r="G69" s="8" t="s">
        <v>300</v>
      </c>
      <c r="H69" s="8" t="s">
        <v>225</v>
      </c>
      <c r="I69" s="8" t="s">
        <v>24</v>
      </c>
      <c r="J69" s="8">
        <v>1100</v>
      </c>
      <c r="K69" s="8">
        <v>1200</v>
      </c>
      <c r="L69" s="8" t="s">
        <v>25</v>
      </c>
      <c r="O69" s="8" t="s">
        <v>414</v>
      </c>
      <c r="P69" s="8" t="s">
        <v>115</v>
      </c>
      <c r="Q69" s="8" t="s">
        <v>130</v>
      </c>
      <c r="R69" s="8" t="s">
        <v>219</v>
      </c>
      <c r="S69" s="8" t="s">
        <v>129</v>
      </c>
      <c r="T69" s="8" t="s">
        <v>128</v>
      </c>
      <c r="U69" s="20">
        <v>45695</v>
      </c>
      <c r="V69" s="20">
        <v>45688</v>
      </c>
      <c r="W69" s="8" t="s">
        <v>129</v>
      </c>
      <c r="X69" s="8" t="str">
        <f t="shared" ref="X69" si="21">G69&amp;AB$1&amp;O69</f>
        <v>ARVINDER SINGH/FSD/Exceedance/B737/25-01/29</v>
      </c>
      <c r="Y69" s="13" t="s">
        <v>415</v>
      </c>
      <c r="Z69" s="20">
        <v>45688</v>
      </c>
      <c r="AA69" s="8">
        <f t="shared" ref="AA69:AA127" si="22">(U69-V69)</f>
        <v>7</v>
      </c>
    </row>
    <row r="70" spans="1:39" ht="15" customHeight="1" x14ac:dyDescent="0.2">
      <c r="A70" s="8">
        <v>69</v>
      </c>
      <c r="B70" s="8" t="s">
        <v>125</v>
      </c>
      <c r="C70" s="20">
        <v>45687</v>
      </c>
      <c r="D70" s="8" t="s">
        <v>144</v>
      </c>
      <c r="E70" s="8" t="s">
        <v>110</v>
      </c>
      <c r="F70" s="8" t="s">
        <v>411</v>
      </c>
      <c r="G70" s="8" t="s">
        <v>300</v>
      </c>
      <c r="H70" s="8" t="s">
        <v>225</v>
      </c>
      <c r="I70" s="8" t="s">
        <v>57</v>
      </c>
      <c r="J70" s="8">
        <v>30</v>
      </c>
      <c r="K70" s="8">
        <v>31.1</v>
      </c>
      <c r="L70" s="8" t="s">
        <v>36</v>
      </c>
      <c r="O70" s="8" t="s">
        <v>125</v>
      </c>
      <c r="P70" s="8" t="s">
        <v>123</v>
      </c>
      <c r="Q70" s="21" t="s">
        <v>125</v>
      </c>
      <c r="R70" s="21" t="s">
        <v>126</v>
      </c>
      <c r="S70" s="21" t="s">
        <v>125</v>
      </c>
      <c r="T70" s="21" t="s">
        <v>128</v>
      </c>
      <c r="U70" s="20">
        <f t="shared" si="19"/>
        <v>45689</v>
      </c>
      <c r="V70" s="8" t="s">
        <v>125</v>
      </c>
      <c r="W70" s="8" t="s">
        <v>129</v>
      </c>
      <c r="X70" s="8" t="s">
        <v>127</v>
      </c>
      <c r="Y70" s="13" t="s">
        <v>416</v>
      </c>
      <c r="Z70" s="20">
        <v>45688</v>
      </c>
      <c r="AA70" s="8">
        <v>0</v>
      </c>
      <c r="AM70" s="8">
        <v>1</v>
      </c>
    </row>
    <row r="71" spans="1:39" ht="15" customHeight="1" x14ac:dyDescent="0.2">
      <c r="A71" s="8">
        <v>70</v>
      </c>
      <c r="B71" s="8" t="s">
        <v>125</v>
      </c>
      <c r="C71" s="20">
        <v>45687</v>
      </c>
      <c r="D71" s="8" t="s">
        <v>412</v>
      </c>
      <c r="E71" s="8" t="s">
        <v>413</v>
      </c>
      <c r="F71" s="8" t="s">
        <v>315</v>
      </c>
      <c r="G71" s="8" t="s">
        <v>274</v>
      </c>
      <c r="H71" s="8" t="s">
        <v>381</v>
      </c>
      <c r="I71" s="8" t="s">
        <v>57</v>
      </c>
      <c r="J71" s="8">
        <v>30</v>
      </c>
      <c r="K71" s="8">
        <v>31.5</v>
      </c>
      <c r="L71" s="8" t="s">
        <v>36</v>
      </c>
      <c r="O71" s="8" t="s">
        <v>125</v>
      </c>
      <c r="P71" s="8" t="s">
        <v>123</v>
      </c>
      <c r="Q71" s="21" t="s">
        <v>125</v>
      </c>
      <c r="R71" s="21" t="s">
        <v>126</v>
      </c>
      <c r="S71" s="21" t="s">
        <v>125</v>
      </c>
      <c r="T71" s="21" t="s">
        <v>128</v>
      </c>
      <c r="U71" s="20">
        <f t="shared" si="19"/>
        <v>45689</v>
      </c>
      <c r="V71" s="8" t="s">
        <v>125</v>
      </c>
      <c r="W71" s="8" t="s">
        <v>129</v>
      </c>
      <c r="X71" s="8" t="s">
        <v>127</v>
      </c>
      <c r="Y71" s="13" t="s">
        <v>417</v>
      </c>
      <c r="Z71" s="20">
        <v>45688</v>
      </c>
      <c r="AA71" s="8">
        <v>0</v>
      </c>
      <c r="AM71" s="8">
        <v>1</v>
      </c>
    </row>
    <row r="72" spans="1:39" ht="15" customHeight="1" x14ac:dyDescent="0.2">
      <c r="A72" s="13">
        <v>71</v>
      </c>
      <c r="B72" s="8" t="s">
        <v>125</v>
      </c>
      <c r="C72" s="14">
        <v>45688</v>
      </c>
      <c r="D72" s="8" t="s">
        <v>256</v>
      </c>
      <c r="E72" s="8" t="s">
        <v>185</v>
      </c>
      <c r="F72" s="8" t="s">
        <v>111</v>
      </c>
      <c r="G72" s="8" t="s">
        <v>274</v>
      </c>
      <c r="H72" s="8" t="s">
        <v>225</v>
      </c>
      <c r="I72" s="8" t="s">
        <v>424</v>
      </c>
      <c r="J72" s="8">
        <v>10</v>
      </c>
      <c r="K72" s="8" t="s">
        <v>423</v>
      </c>
      <c r="L72" s="8" t="s">
        <v>404</v>
      </c>
      <c r="O72" s="8" t="s">
        <v>431</v>
      </c>
      <c r="P72" s="8" t="s">
        <v>431</v>
      </c>
      <c r="Q72" s="8" t="s">
        <v>431</v>
      </c>
      <c r="R72" s="8" t="s">
        <v>431</v>
      </c>
      <c r="S72" s="23" t="s">
        <v>1067</v>
      </c>
      <c r="T72" s="8" t="s">
        <v>431</v>
      </c>
      <c r="U72" s="8" t="s">
        <v>431</v>
      </c>
      <c r="V72" s="8" t="s">
        <v>431</v>
      </c>
      <c r="W72" s="8" t="s">
        <v>129</v>
      </c>
      <c r="X72" s="8" t="s">
        <v>431</v>
      </c>
      <c r="Y72" s="13" t="s">
        <v>431</v>
      </c>
      <c r="Z72" s="20">
        <v>45690</v>
      </c>
      <c r="AA72" s="8">
        <v>0</v>
      </c>
    </row>
    <row r="73" spans="1:39" ht="15" customHeight="1" x14ac:dyDescent="0.2">
      <c r="A73" s="13">
        <v>72</v>
      </c>
      <c r="B73" s="8" t="s">
        <v>125</v>
      </c>
      <c r="C73" s="14">
        <v>45688</v>
      </c>
      <c r="D73" s="8" t="s">
        <v>256</v>
      </c>
      <c r="E73" s="8" t="s">
        <v>425</v>
      </c>
      <c r="F73" s="8" t="s">
        <v>299</v>
      </c>
      <c r="G73" s="8" t="s">
        <v>274</v>
      </c>
      <c r="H73" s="8" t="s">
        <v>225</v>
      </c>
      <c r="I73" s="8" t="s">
        <v>424</v>
      </c>
      <c r="J73" s="8">
        <v>10</v>
      </c>
      <c r="K73" s="8" t="s">
        <v>423</v>
      </c>
      <c r="L73" s="8" t="s">
        <v>404</v>
      </c>
      <c r="O73" s="8" t="s">
        <v>431</v>
      </c>
      <c r="P73" s="8" t="s">
        <v>431</v>
      </c>
      <c r="Q73" s="8" t="s">
        <v>431</v>
      </c>
      <c r="R73" s="8" t="s">
        <v>431</v>
      </c>
      <c r="S73" s="23" t="s">
        <v>1067</v>
      </c>
      <c r="T73" s="8" t="s">
        <v>431</v>
      </c>
      <c r="U73" s="8" t="s">
        <v>431</v>
      </c>
      <c r="V73" s="8" t="s">
        <v>431</v>
      </c>
      <c r="W73" s="8" t="s">
        <v>129</v>
      </c>
      <c r="X73" s="8" t="s">
        <v>431</v>
      </c>
      <c r="Y73" s="13" t="s">
        <v>431</v>
      </c>
      <c r="Z73" s="20">
        <v>45690</v>
      </c>
      <c r="AA73" s="8">
        <v>0</v>
      </c>
    </row>
    <row r="74" spans="1:39" ht="15" customHeight="1" x14ac:dyDescent="0.2">
      <c r="A74" s="13">
        <v>73</v>
      </c>
      <c r="B74" s="8">
        <v>7889</v>
      </c>
      <c r="C74" s="14">
        <v>45688</v>
      </c>
      <c r="D74" s="8" t="s">
        <v>37</v>
      </c>
      <c r="E74" s="8" t="s">
        <v>302</v>
      </c>
      <c r="F74" s="8" t="s">
        <v>41</v>
      </c>
      <c r="G74" s="8" t="s">
        <v>374</v>
      </c>
      <c r="H74" s="8" t="s">
        <v>77</v>
      </c>
      <c r="I74" s="8" t="s">
        <v>403</v>
      </c>
      <c r="J74" s="8">
        <v>10</v>
      </c>
      <c r="K74" s="8">
        <v>27</v>
      </c>
      <c r="L74" s="8" t="s">
        <v>404</v>
      </c>
      <c r="O74" s="8" t="s">
        <v>429</v>
      </c>
      <c r="P74" s="8" t="s">
        <v>203</v>
      </c>
      <c r="Q74" s="8" t="s">
        <v>126</v>
      </c>
      <c r="R74" s="8" t="s">
        <v>408</v>
      </c>
      <c r="S74" s="8" t="s">
        <v>129</v>
      </c>
      <c r="T74" s="8" t="s">
        <v>128</v>
      </c>
      <c r="U74" s="20">
        <v>45695</v>
      </c>
      <c r="V74" s="14">
        <v>45690</v>
      </c>
      <c r="W74" s="8" t="s">
        <v>129</v>
      </c>
      <c r="X74" s="8" t="str">
        <f t="shared" ref="X74:X81" si="23">G74&amp;AB$1&amp;O74</f>
        <v>HIMANI SAREEN/FSD/Exceedance/B737/25-01/32</v>
      </c>
      <c r="Y74" s="13" t="s">
        <v>426</v>
      </c>
      <c r="Z74" s="20">
        <v>45690</v>
      </c>
      <c r="AA74" s="8">
        <f t="shared" si="22"/>
        <v>5</v>
      </c>
    </row>
    <row r="75" spans="1:39" ht="15" customHeight="1" x14ac:dyDescent="0.2">
      <c r="A75" s="13">
        <v>74</v>
      </c>
      <c r="B75" s="8">
        <v>7891</v>
      </c>
      <c r="C75" s="14">
        <v>45688</v>
      </c>
      <c r="D75" s="8" t="s">
        <v>256</v>
      </c>
      <c r="E75" s="8" t="s">
        <v>422</v>
      </c>
      <c r="F75" s="8" t="s">
        <v>421</v>
      </c>
      <c r="G75" s="8" t="s">
        <v>420</v>
      </c>
      <c r="H75" s="8" t="s">
        <v>419</v>
      </c>
      <c r="I75" s="8" t="s">
        <v>39</v>
      </c>
      <c r="J75" s="8">
        <v>1</v>
      </c>
      <c r="K75" s="8">
        <v>1.18</v>
      </c>
      <c r="L75" s="8" t="s">
        <v>271</v>
      </c>
      <c r="O75" s="8" t="s">
        <v>430</v>
      </c>
      <c r="P75" s="8" t="s">
        <v>428</v>
      </c>
      <c r="Q75" s="8" t="s">
        <v>130</v>
      </c>
      <c r="R75" s="8" t="s">
        <v>408</v>
      </c>
      <c r="S75" s="8" t="s">
        <v>129</v>
      </c>
      <c r="T75" s="21" t="s">
        <v>128</v>
      </c>
      <c r="U75" s="20">
        <v>45706</v>
      </c>
      <c r="V75" s="14">
        <v>45690</v>
      </c>
      <c r="W75" s="8" t="s">
        <v>129</v>
      </c>
      <c r="X75" s="8" t="str">
        <f t="shared" si="23"/>
        <v>PARITOSH KUMAR SINGH/FSD/Exceedance/B737/25-01/33</v>
      </c>
      <c r="Y75" s="13" t="s">
        <v>427</v>
      </c>
      <c r="Z75" s="20">
        <v>45690</v>
      </c>
      <c r="AA75" s="8">
        <f t="shared" si="22"/>
        <v>16</v>
      </c>
    </row>
    <row r="76" spans="1:39" ht="15" customHeight="1" x14ac:dyDescent="0.2">
      <c r="A76" s="8">
        <v>75</v>
      </c>
      <c r="B76" s="8">
        <v>7893</v>
      </c>
      <c r="C76" s="14">
        <v>45689</v>
      </c>
      <c r="D76" s="8" t="s">
        <v>37</v>
      </c>
      <c r="E76" s="8" t="s">
        <v>321</v>
      </c>
      <c r="F76" s="8" t="s">
        <v>322</v>
      </c>
      <c r="G76" s="8" t="s">
        <v>432</v>
      </c>
      <c r="H76" s="8" t="s">
        <v>433</v>
      </c>
      <c r="I76" s="8" t="s">
        <v>39</v>
      </c>
      <c r="J76" s="13">
        <v>1</v>
      </c>
      <c r="K76" s="8">
        <v>1.23</v>
      </c>
      <c r="L76" s="8" t="s">
        <v>34</v>
      </c>
      <c r="O76" s="8" t="s">
        <v>437</v>
      </c>
      <c r="P76" s="8" t="s">
        <v>115</v>
      </c>
      <c r="Q76" s="8" t="s">
        <v>130</v>
      </c>
      <c r="R76" s="8" t="s">
        <v>408</v>
      </c>
      <c r="S76" s="8" t="s">
        <v>129</v>
      </c>
      <c r="T76" s="8" t="s">
        <v>128</v>
      </c>
      <c r="U76" s="20">
        <v>45698</v>
      </c>
      <c r="V76" s="14">
        <v>45691</v>
      </c>
      <c r="W76" s="8" t="s">
        <v>129</v>
      </c>
      <c r="X76" s="8" t="str">
        <f t="shared" si="23"/>
        <v>SHAKTI SATYAKUMAR KAUSHAL/FSD/Exceedance/B737/25-02/01</v>
      </c>
      <c r="Y76" s="13" t="s">
        <v>435</v>
      </c>
      <c r="Z76" s="20">
        <v>45691</v>
      </c>
      <c r="AA76" s="8">
        <f t="shared" si="22"/>
        <v>7</v>
      </c>
    </row>
    <row r="77" spans="1:39" ht="15" customHeight="1" x14ac:dyDescent="0.2">
      <c r="A77" s="8">
        <v>76</v>
      </c>
      <c r="B77" s="8">
        <v>7895</v>
      </c>
      <c r="C77" s="14">
        <v>45690</v>
      </c>
      <c r="D77" s="8" t="s">
        <v>40</v>
      </c>
      <c r="E77" s="8" t="s">
        <v>434</v>
      </c>
      <c r="F77" s="8" t="s">
        <v>299</v>
      </c>
      <c r="G77" s="8" t="s">
        <v>300</v>
      </c>
      <c r="H77" s="8" t="s">
        <v>301</v>
      </c>
      <c r="I77" s="8" t="s">
        <v>39</v>
      </c>
      <c r="J77" s="13">
        <v>1</v>
      </c>
      <c r="K77" s="8">
        <v>1.32</v>
      </c>
      <c r="L77" s="8" t="s">
        <v>34</v>
      </c>
      <c r="O77" s="8" t="s">
        <v>438</v>
      </c>
      <c r="P77" s="8" t="s">
        <v>115</v>
      </c>
      <c r="Q77" s="8" t="s">
        <v>130</v>
      </c>
      <c r="R77" s="8" t="s">
        <v>408</v>
      </c>
      <c r="S77" s="8" t="s">
        <v>129</v>
      </c>
      <c r="T77" s="8" t="s">
        <v>128</v>
      </c>
      <c r="U77" s="20">
        <v>45691</v>
      </c>
      <c r="V77" s="14">
        <v>45691</v>
      </c>
      <c r="W77" s="8" t="s">
        <v>129</v>
      </c>
      <c r="X77" s="8" t="str">
        <f t="shared" si="23"/>
        <v>ARVINDER SINGH/FSD/Exceedance/B737/25-02/02</v>
      </c>
      <c r="Y77" s="13" t="s">
        <v>436</v>
      </c>
      <c r="Z77" s="20">
        <v>45691</v>
      </c>
    </row>
    <row r="78" spans="1:39" ht="15" customHeight="1" x14ac:dyDescent="0.2">
      <c r="A78" s="8">
        <v>77</v>
      </c>
      <c r="B78" s="8" t="s">
        <v>125</v>
      </c>
      <c r="C78" s="14">
        <v>45688</v>
      </c>
      <c r="D78" s="8" t="s">
        <v>37</v>
      </c>
      <c r="E78" s="8" t="s">
        <v>439</v>
      </c>
      <c r="F78" s="8" t="s">
        <v>35</v>
      </c>
      <c r="G78" s="8" t="s">
        <v>374</v>
      </c>
      <c r="H78" s="8" t="s">
        <v>77</v>
      </c>
      <c r="I78" s="8" t="s">
        <v>440</v>
      </c>
      <c r="J78" s="13">
        <v>4</v>
      </c>
      <c r="K78" s="8">
        <v>4.2</v>
      </c>
      <c r="L78" s="8" t="s">
        <v>441</v>
      </c>
      <c r="O78" s="8" t="s">
        <v>125</v>
      </c>
      <c r="P78" s="8" t="s">
        <v>123</v>
      </c>
      <c r="Q78" s="21" t="s">
        <v>125</v>
      </c>
      <c r="R78" s="21" t="s">
        <v>126</v>
      </c>
      <c r="S78" s="21" t="s">
        <v>125</v>
      </c>
      <c r="T78" s="21" t="s">
        <v>128</v>
      </c>
      <c r="U78" s="20">
        <f t="shared" ref="U78:U79" si="24">(Z78+1)</f>
        <v>45693</v>
      </c>
      <c r="V78" s="8" t="s">
        <v>125</v>
      </c>
      <c r="W78" s="8" t="s">
        <v>129</v>
      </c>
      <c r="X78" s="8" t="s">
        <v>127</v>
      </c>
      <c r="Y78" s="13" t="s">
        <v>442</v>
      </c>
      <c r="Z78" s="20">
        <v>45692</v>
      </c>
      <c r="AA78" s="8">
        <v>0</v>
      </c>
      <c r="AM78" s="8">
        <v>1</v>
      </c>
    </row>
    <row r="79" spans="1:39" ht="15" customHeight="1" x14ac:dyDescent="0.2">
      <c r="A79" s="13">
        <v>78</v>
      </c>
      <c r="B79" s="8" t="s">
        <v>125</v>
      </c>
      <c r="C79" s="14">
        <v>45691</v>
      </c>
      <c r="D79" s="8" t="s">
        <v>48</v>
      </c>
      <c r="E79" s="8" t="s">
        <v>443</v>
      </c>
      <c r="F79" s="8" t="s">
        <v>444</v>
      </c>
      <c r="G79" s="8" t="s">
        <v>432</v>
      </c>
      <c r="H79" s="8" t="s">
        <v>445</v>
      </c>
      <c r="I79" s="8" t="s">
        <v>27</v>
      </c>
      <c r="J79" s="8" t="s">
        <v>28</v>
      </c>
      <c r="K79" s="8" t="s">
        <v>446</v>
      </c>
      <c r="L79" s="8" t="s">
        <v>26</v>
      </c>
      <c r="O79" s="8" t="s">
        <v>452</v>
      </c>
      <c r="P79" s="8" t="s">
        <v>157</v>
      </c>
      <c r="Q79" s="21" t="s">
        <v>125</v>
      </c>
      <c r="R79" s="21" t="s">
        <v>126</v>
      </c>
      <c r="S79" s="21" t="s">
        <v>125</v>
      </c>
      <c r="T79" s="21" t="s">
        <v>128</v>
      </c>
      <c r="U79" s="20">
        <f t="shared" si="24"/>
        <v>45694</v>
      </c>
      <c r="V79" s="8" t="s">
        <v>125</v>
      </c>
      <c r="W79" s="8" t="s">
        <v>129</v>
      </c>
      <c r="X79" s="8" t="str">
        <f t="shared" si="23"/>
        <v>SHAKTI SATYAKUMAR KAUSHAL/FSD/Exceedance/B737/25-02/03</v>
      </c>
      <c r="Y79" s="13" t="s">
        <v>449</v>
      </c>
      <c r="Z79" s="20">
        <v>45693</v>
      </c>
      <c r="AA79" s="8">
        <v>0</v>
      </c>
      <c r="AM79" s="8">
        <v>1</v>
      </c>
    </row>
    <row r="80" spans="1:39" ht="15" customHeight="1" x14ac:dyDescent="0.2">
      <c r="A80" s="13">
        <v>79</v>
      </c>
      <c r="B80" s="8">
        <v>7916</v>
      </c>
      <c r="C80" s="14">
        <v>45691</v>
      </c>
      <c r="D80" s="8" t="s">
        <v>48</v>
      </c>
      <c r="E80" s="8" t="s">
        <v>443</v>
      </c>
      <c r="F80" s="8" t="s">
        <v>444</v>
      </c>
      <c r="G80" s="8" t="s">
        <v>432</v>
      </c>
      <c r="H80" s="8" t="s">
        <v>445</v>
      </c>
      <c r="I80" s="8" t="s">
        <v>447</v>
      </c>
      <c r="J80" s="8">
        <v>195</v>
      </c>
      <c r="K80" s="8">
        <v>200.5</v>
      </c>
      <c r="L80" s="8" t="s">
        <v>42</v>
      </c>
      <c r="O80" s="8" t="s">
        <v>452</v>
      </c>
      <c r="P80" s="8" t="s">
        <v>203</v>
      </c>
      <c r="Q80" s="8" t="s">
        <v>126</v>
      </c>
      <c r="R80" s="8" t="s">
        <v>408</v>
      </c>
      <c r="S80" s="8" t="s">
        <v>129</v>
      </c>
      <c r="T80" s="8" t="s">
        <v>128</v>
      </c>
      <c r="U80" s="14">
        <v>45712</v>
      </c>
      <c r="V80" s="20">
        <v>45693</v>
      </c>
      <c r="W80" s="8" t="s">
        <v>129</v>
      </c>
      <c r="X80" s="8" t="str">
        <f t="shared" si="23"/>
        <v>SHAKTI SATYAKUMAR KAUSHAL/FSD/Exceedance/B737/25-02/03</v>
      </c>
      <c r="Y80" s="22" t="s">
        <v>450</v>
      </c>
      <c r="Z80" s="20">
        <v>45693</v>
      </c>
      <c r="AA80" s="8">
        <f t="shared" si="22"/>
        <v>19</v>
      </c>
    </row>
    <row r="81" spans="1:39" ht="15" customHeight="1" x14ac:dyDescent="0.2">
      <c r="A81" s="8">
        <v>80</v>
      </c>
      <c r="B81" s="8">
        <v>7917</v>
      </c>
      <c r="C81" s="14">
        <v>45692</v>
      </c>
      <c r="D81" s="8" t="s">
        <v>168</v>
      </c>
      <c r="E81" s="8" t="s">
        <v>439</v>
      </c>
      <c r="F81" s="8" t="s">
        <v>35</v>
      </c>
      <c r="G81" s="8" t="s">
        <v>448</v>
      </c>
      <c r="H81" s="8" t="s">
        <v>241</v>
      </c>
      <c r="I81" s="8" t="s">
        <v>39</v>
      </c>
      <c r="J81" s="8">
        <v>1</v>
      </c>
      <c r="K81" s="8">
        <v>1.1399999999999999</v>
      </c>
      <c r="L81" s="8" t="s">
        <v>34</v>
      </c>
      <c r="O81" s="8" t="s">
        <v>453</v>
      </c>
      <c r="P81" s="8" t="s">
        <v>115</v>
      </c>
      <c r="Q81" s="8" t="s">
        <v>130</v>
      </c>
      <c r="R81" s="8" t="s">
        <v>219</v>
      </c>
      <c r="S81" s="8" t="s">
        <v>129</v>
      </c>
      <c r="T81" s="8" t="s">
        <v>128</v>
      </c>
      <c r="U81" s="20">
        <v>45699</v>
      </c>
      <c r="V81" s="20">
        <v>45693</v>
      </c>
      <c r="W81" s="8" t="s">
        <v>129</v>
      </c>
      <c r="X81" s="8" t="str">
        <f t="shared" si="23"/>
        <v>AMAN  JAIN/FSD/Exceedance/B737/25-02/04</v>
      </c>
      <c r="Y81" s="13" t="s">
        <v>451</v>
      </c>
      <c r="Z81" s="20">
        <v>45693</v>
      </c>
      <c r="AA81" s="8">
        <f t="shared" si="22"/>
        <v>6</v>
      </c>
    </row>
    <row r="82" spans="1:39" ht="15" customHeight="1" x14ac:dyDescent="0.2">
      <c r="A82" s="8">
        <v>81</v>
      </c>
      <c r="B82" s="8" t="s">
        <v>125</v>
      </c>
      <c r="C82" s="14">
        <v>45693</v>
      </c>
      <c r="D82" s="8" t="s">
        <v>48</v>
      </c>
      <c r="E82" s="8" t="s">
        <v>443</v>
      </c>
      <c r="F82" s="8" t="s">
        <v>444</v>
      </c>
      <c r="G82" s="8" t="s">
        <v>454</v>
      </c>
      <c r="H82" s="8" t="s">
        <v>389</v>
      </c>
      <c r="I82" s="8" t="s">
        <v>27</v>
      </c>
      <c r="J82" s="8" t="s">
        <v>294</v>
      </c>
      <c r="K82" s="8">
        <v>335</v>
      </c>
      <c r="L82" s="8" t="s">
        <v>26</v>
      </c>
      <c r="O82" s="8" t="s">
        <v>457</v>
      </c>
      <c r="P82" s="8" t="s">
        <v>157</v>
      </c>
      <c r="Q82" s="21" t="s">
        <v>125</v>
      </c>
      <c r="R82" s="21" t="s">
        <v>126</v>
      </c>
      <c r="S82" s="21" t="s">
        <v>125</v>
      </c>
      <c r="T82" s="21" t="s">
        <v>128</v>
      </c>
      <c r="U82" s="20">
        <f t="shared" ref="U82:U83" si="25">(Z82+1)</f>
        <v>45695</v>
      </c>
      <c r="V82" s="8" t="s">
        <v>125</v>
      </c>
      <c r="W82" s="8" t="s">
        <v>129</v>
      </c>
      <c r="X82" s="8" t="s">
        <v>127</v>
      </c>
      <c r="Y82" s="13" t="s">
        <v>455</v>
      </c>
      <c r="Z82" s="14">
        <v>45694</v>
      </c>
      <c r="AA82" s="8">
        <v>0</v>
      </c>
      <c r="AM82" s="8">
        <v>1</v>
      </c>
    </row>
    <row r="83" spans="1:39" ht="15" customHeight="1" x14ac:dyDescent="0.2">
      <c r="A83" s="8">
        <v>82</v>
      </c>
      <c r="B83" s="8" t="s">
        <v>125</v>
      </c>
      <c r="C83" s="14">
        <v>45693</v>
      </c>
      <c r="D83" s="8" t="s">
        <v>48</v>
      </c>
      <c r="E83" s="8" t="s">
        <v>443</v>
      </c>
      <c r="F83" s="8" t="s">
        <v>444</v>
      </c>
      <c r="G83" s="8" t="s">
        <v>454</v>
      </c>
      <c r="H83" s="8" t="s">
        <v>389</v>
      </c>
      <c r="I83" s="8" t="s">
        <v>313</v>
      </c>
      <c r="K83" s="8">
        <v>88</v>
      </c>
      <c r="L83" s="8" t="s">
        <v>26</v>
      </c>
      <c r="O83" s="8" t="s">
        <v>125</v>
      </c>
      <c r="P83" s="8" t="s">
        <v>123</v>
      </c>
      <c r="Q83" s="21" t="s">
        <v>125</v>
      </c>
      <c r="R83" s="21" t="s">
        <v>126</v>
      </c>
      <c r="S83" s="21" t="s">
        <v>125</v>
      </c>
      <c r="T83" s="21" t="s">
        <v>128</v>
      </c>
      <c r="U83" s="20">
        <f t="shared" si="25"/>
        <v>45695</v>
      </c>
      <c r="V83" s="8" t="s">
        <v>125</v>
      </c>
      <c r="W83" s="8" t="s">
        <v>129</v>
      </c>
      <c r="X83" s="8" t="s">
        <v>127</v>
      </c>
      <c r="Y83" s="13" t="s">
        <v>456</v>
      </c>
      <c r="Z83" s="14">
        <v>45694</v>
      </c>
      <c r="AA83" s="8">
        <v>0</v>
      </c>
      <c r="AM83" s="8">
        <v>1</v>
      </c>
    </row>
    <row r="84" spans="1:39" ht="15" customHeight="1" x14ac:dyDescent="0.2">
      <c r="A84" s="8">
        <v>83</v>
      </c>
      <c r="B84" s="8">
        <v>7936</v>
      </c>
      <c r="C84" s="14">
        <v>45694</v>
      </c>
      <c r="D84" s="8" t="s">
        <v>40</v>
      </c>
      <c r="E84" s="8" t="s">
        <v>458</v>
      </c>
      <c r="F84" s="8" t="s">
        <v>258</v>
      </c>
      <c r="G84" s="8" t="s">
        <v>420</v>
      </c>
      <c r="H84" s="8" t="s">
        <v>325</v>
      </c>
      <c r="I84" s="8" t="s">
        <v>39</v>
      </c>
      <c r="J84" s="8">
        <v>1</v>
      </c>
      <c r="K84" s="8">
        <v>1.18</v>
      </c>
      <c r="L84" s="8" t="s">
        <v>34</v>
      </c>
      <c r="O84" s="8" t="s">
        <v>468</v>
      </c>
      <c r="P84" s="8" t="s">
        <v>115</v>
      </c>
      <c r="Q84" s="8" t="s">
        <v>130</v>
      </c>
      <c r="R84" s="8" t="s">
        <v>408</v>
      </c>
      <c r="S84" s="8" t="s">
        <v>129</v>
      </c>
      <c r="T84" s="8" t="s">
        <v>128</v>
      </c>
      <c r="U84" s="20">
        <v>45706</v>
      </c>
      <c r="V84" s="20">
        <v>45696</v>
      </c>
      <c r="W84" s="8" t="s">
        <v>129</v>
      </c>
      <c r="X84" s="8" t="str">
        <f t="shared" ref="X84" si="26">G84&amp;AB$1&amp;O84</f>
        <v>PARITOSH KUMAR SINGH/FSD/Exceedance/B737/25-02/06</v>
      </c>
      <c r="Y84" s="13" t="s">
        <v>471</v>
      </c>
      <c r="Z84" s="14">
        <v>45696</v>
      </c>
      <c r="AA84" s="8">
        <f t="shared" si="22"/>
        <v>10</v>
      </c>
    </row>
    <row r="85" spans="1:39" ht="15" customHeight="1" x14ac:dyDescent="0.2">
      <c r="A85" s="13">
        <v>84</v>
      </c>
      <c r="B85" s="8" t="s">
        <v>125</v>
      </c>
      <c r="C85" s="14">
        <v>45695</v>
      </c>
      <c r="D85" s="8" t="s">
        <v>37</v>
      </c>
      <c r="E85" s="8" t="s">
        <v>459</v>
      </c>
      <c r="F85" s="8" t="s">
        <v>460</v>
      </c>
      <c r="G85" s="8" t="s">
        <v>461</v>
      </c>
      <c r="H85" s="8" t="s">
        <v>462</v>
      </c>
      <c r="I85" s="8" t="s">
        <v>27</v>
      </c>
      <c r="J85" s="8" t="s">
        <v>28</v>
      </c>
      <c r="K85" s="8" t="s">
        <v>463</v>
      </c>
      <c r="L85" s="8" t="s">
        <v>26</v>
      </c>
      <c r="O85" s="8" t="s">
        <v>469</v>
      </c>
      <c r="P85" s="8" t="s">
        <v>123</v>
      </c>
      <c r="Q85" s="21" t="s">
        <v>125</v>
      </c>
      <c r="R85" s="21" t="s">
        <v>126</v>
      </c>
      <c r="S85" s="21" t="s">
        <v>125</v>
      </c>
      <c r="T85" s="21" t="s">
        <v>128</v>
      </c>
      <c r="U85" s="20">
        <f t="shared" ref="U85" si="27">(Z85+1)</f>
        <v>45697</v>
      </c>
      <c r="V85" s="8" t="s">
        <v>125</v>
      </c>
      <c r="W85" s="8" t="s">
        <v>129</v>
      </c>
      <c r="X85" s="8" t="s">
        <v>127</v>
      </c>
      <c r="Y85" s="13" t="s">
        <v>472</v>
      </c>
      <c r="Z85" s="14">
        <v>45696</v>
      </c>
      <c r="AA85" s="8">
        <v>0</v>
      </c>
      <c r="AM85" s="8">
        <v>1</v>
      </c>
    </row>
    <row r="86" spans="1:39" ht="15" customHeight="1" x14ac:dyDescent="0.2">
      <c r="A86" s="13">
        <v>85</v>
      </c>
      <c r="B86" s="8">
        <v>7937</v>
      </c>
      <c r="C86" s="14">
        <v>45695</v>
      </c>
      <c r="D86" s="8" t="s">
        <v>168</v>
      </c>
      <c r="E86" s="8" t="s">
        <v>464</v>
      </c>
      <c r="F86" s="8" t="s">
        <v>465</v>
      </c>
      <c r="G86" s="8" t="s">
        <v>292</v>
      </c>
      <c r="H86" s="8" t="s">
        <v>113</v>
      </c>
      <c r="I86" s="8" t="s">
        <v>466</v>
      </c>
      <c r="J86" s="8" t="s">
        <v>69</v>
      </c>
      <c r="K86" s="8" t="s">
        <v>467</v>
      </c>
      <c r="L86" s="8" t="s">
        <v>42</v>
      </c>
      <c r="O86" s="8" t="s">
        <v>470</v>
      </c>
      <c r="P86" s="8" t="s">
        <v>115</v>
      </c>
      <c r="Q86" s="8" t="s">
        <v>130</v>
      </c>
      <c r="R86" s="8" t="s">
        <v>408</v>
      </c>
      <c r="S86" s="8" t="s">
        <v>129</v>
      </c>
      <c r="T86" s="8" t="s">
        <v>128</v>
      </c>
      <c r="U86" s="14">
        <v>45698</v>
      </c>
      <c r="V86" s="20">
        <v>45696</v>
      </c>
      <c r="W86" s="8" t="s">
        <v>129</v>
      </c>
      <c r="X86" s="8" t="str">
        <f t="shared" ref="X86" si="28">G86&amp;AB$1&amp;O86</f>
        <v>HARICHARAN SATYANARAYAN BANSAL/FSD/Exceedance/B737/25-02/08</v>
      </c>
      <c r="Y86" s="13" t="s">
        <v>473</v>
      </c>
      <c r="Z86" s="14">
        <v>45696</v>
      </c>
      <c r="AA86" s="8">
        <f t="shared" si="22"/>
        <v>2</v>
      </c>
    </row>
    <row r="87" spans="1:39" ht="15" customHeight="1" x14ac:dyDescent="0.2">
      <c r="A87" s="13">
        <v>86</v>
      </c>
      <c r="B87" s="8" t="s">
        <v>125</v>
      </c>
      <c r="C87" s="14">
        <v>45694</v>
      </c>
      <c r="D87" s="8" t="s">
        <v>168</v>
      </c>
      <c r="E87" s="8" t="s">
        <v>474</v>
      </c>
      <c r="F87" s="8" t="s">
        <v>273</v>
      </c>
      <c r="G87" s="8" t="s">
        <v>475</v>
      </c>
      <c r="H87" s="8" t="s">
        <v>476</v>
      </c>
      <c r="I87" s="8" t="s">
        <v>57</v>
      </c>
      <c r="J87" s="8">
        <v>30</v>
      </c>
      <c r="K87" s="8">
        <v>31.5</v>
      </c>
      <c r="L87" s="8" t="s">
        <v>36</v>
      </c>
      <c r="O87" s="8" t="s">
        <v>125</v>
      </c>
      <c r="P87" s="8" t="s">
        <v>123</v>
      </c>
      <c r="Q87" s="21" t="s">
        <v>125</v>
      </c>
      <c r="R87" s="21" t="s">
        <v>126</v>
      </c>
      <c r="S87" s="21" t="s">
        <v>125</v>
      </c>
      <c r="T87" s="21" t="s">
        <v>128</v>
      </c>
      <c r="U87" s="20">
        <f t="shared" ref="U87:U91" si="29">(Z87+1)</f>
        <v>45699</v>
      </c>
      <c r="V87" s="8" t="s">
        <v>125</v>
      </c>
      <c r="W87" s="8" t="s">
        <v>129</v>
      </c>
      <c r="X87" s="8" t="s">
        <v>127</v>
      </c>
      <c r="Y87" s="13" t="s">
        <v>478</v>
      </c>
      <c r="Z87" s="14">
        <v>45698</v>
      </c>
      <c r="AA87" s="8">
        <v>0</v>
      </c>
      <c r="AM87" s="8">
        <v>1</v>
      </c>
    </row>
    <row r="88" spans="1:39" ht="15" customHeight="1" x14ac:dyDescent="0.2">
      <c r="A88" s="13">
        <v>87</v>
      </c>
      <c r="B88" s="8" t="s">
        <v>125</v>
      </c>
      <c r="C88" s="14">
        <v>45693</v>
      </c>
      <c r="D88" s="8" t="s">
        <v>249</v>
      </c>
      <c r="E88" s="8" t="s">
        <v>286</v>
      </c>
      <c r="F88" s="8" t="s">
        <v>373</v>
      </c>
      <c r="G88" s="8" t="s">
        <v>374</v>
      </c>
      <c r="H88" s="8" t="s">
        <v>381</v>
      </c>
      <c r="I88" s="8" t="s">
        <v>24</v>
      </c>
      <c r="J88" s="8">
        <v>1050</v>
      </c>
      <c r="K88" s="8">
        <v>1260</v>
      </c>
      <c r="L88" s="8" t="s">
        <v>25</v>
      </c>
      <c r="O88" s="8" t="s">
        <v>125</v>
      </c>
      <c r="P88" s="8" t="s">
        <v>123</v>
      </c>
      <c r="Q88" s="21" t="s">
        <v>125</v>
      </c>
      <c r="R88" s="21" t="s">
        <v>126</v>
      </c>
      <c r="S88" s="21" t="s">
        <v>125</v>
      </c>
      <c r="T88" s="21" t="s">
        <v>128</v>
      </c>
      <c r="U88" s="20">
        <f t="shared" si="29"/>
        <v>45699</v>
      </c>
      <c r="V88" s="8" t="s">
        <v>125</v>
      </c>
      <c r="W88" s="8" t="s">
        <v>129</v>
      </c>
      <c r="X88" s="8" t="s">
        <v>127</v>
      </c>
      <c r="Y88" s="13" t="s">
        <v>479</v>
      </c>
      <c r="Z88" s="14">
        <v>45698</v>
      </c>
      <c r="AA88" s="8">
        <v>0</v>
      </c>
      <c r="AM88" s="8">
        <v>1</v>
      </c>
    </row>
    <row r="89" spans="1:39" ht="15" customHeight="1" x14ac:dyDescent="0.2">
      <c r="A89" s="13">
        <v>88</v>
      </c>
      <c r="B89" s="8" t="s">
        <v>125</v>
      </c>
      <c r="C89" s="14">
        <v>45693</v>
      </c>
      <c r="D89" s="8" t="s">
        <v>139</v>
      </c>
      <c r="E89" s="8" t="s">
        <v>233</v>
      </c>
      <c r="F89" s="8" t="s">
        <v>234</v>
      </c>
      <c r="G89" s="8" t="s">
        <v>477</v>
      </c>
      <c r="H89" s="8" t="s">
        <v>170</v>
      </c>
      <c r="I89" s="8" t="s">
        <v>58</v>
      </c>
      <c r="J89" s="8">
        <v>1200</v>
      </c>
      <c r="K89" s="8">
        <v>1158</v>
      </c>
      <c r="L89" s="8" t="s">
        <v>26</v>
      </c>
      <c r="O89" s="8" t="s">
        <v>125</v>
      </c>
      <c r="P89" s="8" t="s">
        <v>123</v>
      </c>
      <c r="Q89" s="21" t="s">
        <v>125</v>
      </c>
      <c r="R89" s="21" t="s">
        <v>126</v>
      </c>
      <c r="S89" s="21" t="s">
        <v>125</v>
      </c>
      <c r="T89" s="21" t="s">
        <v>128</v>
      </c>
      <c r="U89" s="20">
        <f t="shared" si="29"/>
        <v>45699</v>
      </c>
      <c r="V89" s="8" t="s">
        <v>125</v>
      </c>
      <c r="W89" s="8" t="s">
        <v>129</v>
      </c>
      <c r="X89" s="8" t="s">
        <v>127</v>
      </c>
      <c r="Y89" s="24" t="s">
        <v>480</v>
      </c>
      <c r="Z89" s="14">
        <v>45698</v>
      </c>
      <c r="AA89" s="8">
        <v>0</v>
      </c>
      <c r="AM89" s="8">
        <v>1</v>
      </c>
    </row>
    <row r="90" spans="1:39" ht="15" customHeight="1" x14ac:dyDescent="0.2">
      <c r="A90" s="13">
        <v>89</v>
      </c>
      <c r="B90" s="8" t="s">
        <v>125</v>
      </c>
      <c r="C90" s="25">
        <v>45696</v>
      </c>
      <c r="D90" s="8" t="s">
        <v>256</v>
      </c>
      <c r="E90" s="8" t="s">
        <v>321</v>
      </c>
      <c r="F90" s="8" t="s">
        <v>322</v>
      </c>
      <c r="G90" s="8" t="s">
        <v>361</v>
      </c>
      <c r="H90" s="8" t="s">
        <v>190</v>
      </c>
      <c r="I90" s="8" t="s">
        <v>58</v>
      </c>
      <c r="J90" s="8">
        <v>1200</v>
      </c>
      <c r="K90" s="8">
        <v>1142</v>
      </c>
      <c r="L90" s="8" t="s">
        <v>26</v>
      </c>
      <c r="O90" s="8" t="s">
        <v>125</v>
      </c>
      <c r="P90" s="8" t="s">
        <v>123</v>
      </c>
      <c r="Q90" s="21" t="s">
        <v>125</v>
      </c>
      <c r="R90" s="21" t="s">
        <v>126</v>
      </c>
      <c r="S90" s="21" t="s">
        <v>125</v>
      </c>
      <c r="T90" s="21" t="s">
        <v>128</v>
      </c>
      <c r="U90" s="20">
        <f t="shared" si="29"/>
        <v>45699</v>
      </c>
      <c r="V90" s="8" t="s">
        <v>125</v>
      </c>
      <c r="W90" s="8" t="s">
        <v>129</v>
      </c>
      <c r="X90" s="8" t="s">
        <v>127</v>
      </c>
      <c r="Y90" s="24" t="s">
        <v>481</v>
      </c>
      <c r="Z90" s="14">
        <v>45698</v>
      </c>
      <c r="AA90" s="8">
        <v>0</v>
      </c>
      <c r="AM90" s="8">
        <v>1</v>
      </c>
    </row>
    <row r="91" spans="1:39" ht="15" customHeight="1" x14ac:dyDescent="0.2">
      <c r="A91" s="8">
        <v>90</v>
      </c>
      <c r="B91" s="8" t="s">
        <v>125</v>
      </c>
      <c r="C91" s="14">
        <v>45696</v>
      </c>
      <c r="D91" s="8" t="s">
        <v>191</v>
      </c>
      <c r="E91" s="8" t="s">
        <v>176</v>
      </c>
      <c r="F91" s="8" t="s">
        <v>177</v>
      </c>
      <c r="G91" s="8" t="s">
        <v>482</v>
      </c>
      <c r="H91" s="8" t="s">
        <v>312</v>
      </c>
      <c r="I91" s="8" t="s">
        <v>136</v>
      </c>
      <c r="J91" s="8" t="s">
        <v>137</v>
      </c>
      <c r="K91" s="8" t="s">
        <v>483</v>
      </c>
      <c r="L91" s="8" t="s">
        <v>42</v>
      </c>
      <c r="O91" s="8" t="s">
        <v>125</v>
      </c>
      <c r="P91" s="8" t="s">
        <v>123</v>
      </c>
      <c r="Q91" s="21" t="s">
        <v>125</v>
      </c>
      <c r="R91" s="21" t="s">
        <v>126</v>
      </c>
      <c r="S91" s="21" t="s">
        <v>125</v>
      </c>
      <c r="T91" s="21" t="s">
        <v>128</v>
      </c>
      <c r="U91" s="20">
        <f t="shared" si="29"/>
        <v>45700</v>
      </c>
      <c r="V91" s="8" t="s">
        <v>125</v>
      </c>
      <c r="W91" s="8" t="s">
        <v>129</v>
      </c>
      <c r="X91" s="8" t="s">
        <v>127</v>
      </c>
      <c r="Y91" s="13" t="s">
        <v>484</v>
      </c>
      <c r="Z91" s="14">
        <v>45699</v>
      </c>
      <c r="AA91" s="8">
        <v>0</v>
      </c>
    </row>
    <row r="92" spans="1:39" ht="15" customHeight="1" x14ac:dyDescent="0.2">
      <c r="A92" s="13">
        <v>91</v>
      </c>
      <c r="B92" s="8">
        <v>7966</v>
      </c>
      <c r="C92" s="14">
        <v>45700</v>
      </c>
      <c r="D92" s="8" t="s">
        <v>168</v>
      </c>
      <c r="E92" s="8" t="s">
        <v>101</v>
      </c>
      <c r="F92" s="8" t="s">
        <v>41</v>
      </c>
      <c r="G92" s="8" t="s">
        <v>485</v>
      </c>
      <c r="H92" s="8" t="s">
        <v>462</v>
      </c>
      <c r="I92" s="8" t="s">
        <v>403</v>
      </c>
      <c r="J92" s="8">
        <v>10</v>
      </c>
      <c r="K92" s="8">
        <v>14</v>
      </c>
      <c r="L92" s="8" t="s">
        <v>404</v>
      </c>
      <c r="O92" s="8" t="s">
        <v>492</v>
      </c>
      <c r="P92" s="8" t="s">
        <v>115</v>
      </c>
      <c r="Q92" s="8" t="s">
        <v>130</v>
      </c>
      <c r="R92" s="8" t="s">
        <v>408</v>
      </c>
      <c r="S92" s="8" t="s">
        <v>129</v>
      </c>
      <c r="T92" s="8" t="s">
        <v>128</v>
      </c>
      <c r="U92" s="14">
        <v>45712</v>
      </c>
      <c r="V92" s="20">
        <v>45701</v>
      </c>
      <c r="W92" s="8" t="s">
        <v>129</v>
      </c>
      <c r="X92" s="8" t="str">
        <f t="shared" ref="X92" si="30">G92&amp;AB$1&amp;O92</f>
        <v>MOHIT KUMAR/FSD/Exceedance/B737/25-02/09</v>
      </c>
      <c r="Y92" s="13" t="s">
        <v>489</v>
      </c>
      <c r="Z92" s="14">
        <v>45701</v>
      </c>
      <c r="AA92" s="8">
        <f t="shared" si="22"/>
        <v>11</v>
      </c>
    </row>
    <row r="93" spans="1:39" ht="15" customHeight="1" x14ac:dyDescent="0.2">
      <c r="A93" s="8">
        <v>92</v>
      </c>
      <c r="B93" s="8" t="s">
        <v>125</v>
      </c>
      <c r="C93" s="14">
        <v>45700</v>
      </c>
      <c r="D93" s="14" t="s">
        <v>37</v>
      </c>
      <c r="E93" s="8" t="s">
        <v>486</v>
      </c>
      <c r="F93" s="8" t="s">
        <v>487</v>
      </c>
      <c r="G93" s="8" t="s">
        <v>488</v>
      </c>
      <c r="H93" s="8" t="s">
        <v>47</v>
      </c>
      <c r="I93" s="8" t="s">
        <v>57</v>
      </c>
      <c r="J93" s="8">
        <v>30</v>
      </c>
      <c r="K93" s="8">
        <v>32.200000000000003</v>
      </c>
      <c r="L93" s="8" t="s">
        <v>36</v>
      </c>
      <c r="O93" s="8" t="s">
        <v>125</v>
      </c>
      <c r="P93" s="8" t="s">
        <v>123</v>
      </c>
      <c r="Q93" s="21" t="s">
        <v>125</v>
      </c>
      <c r="R93" s="21" t="s">
        <v>126</v>
      </c>
      <c r="S93" s="21" t="s">
        <v>125</v>
      </c>
      <c r="T93" s="21" t="s">
        <v>128</v>
      </c>
      <c r="U93" s="20">
        <f t="shared" ref="U93:U94" si="31">(Z93+1)</f>
        <v>45702</v>
      </c>
      <c r="V93" s="8" t="s">
        <v>125</v>
      </c>
      <c r="W93" s="8" t="s">
        <v>129</v>
      </c>
      <c r="X93" s="8" t="s">
        <v>127</v>
      </c>
      <c r="Y93" s="13" t="s">
        <v>490</v>
      </c>
      <c r="Z93" s="14">
        <v>45701</v>
      </c>
      <c r="AA93" s="8">
        <v>0</v>
      </c>
    </row>
    <row r="94" spans="1:39" ht="15" customHeight="1" x14ac:dyDescent="0.2">
      <c r="A94" s="13">
        <v>93</v>
      </c>
      <c r="B94" s="8" t="s">
        <v>125</v>
      </c>
      <c r="C94" s="14">
        <v>45700</v>
      </c>
      <c r="D94" s="8" t="s">
        <v>249</v>
      </c>
      <c r="E94" s="8" t="s">
        <v>110</v>
      </c>
      <c r="F94" s="8" t="s">
        <v>111</v>
      </c>
      <c r="G94" s="8" t="s">
        <v>222</v>
      </c>
      <c r="H94" s="8" t="s">
        <v>260</v>
      </c>
      <c r="I94" s="8" t="s">
        <v>24</v>
      </c>
      <c r="J94" s="8">
        <v>1050</v>
      </c>
      <c r="K94" s="8">
        <v>1095</v>
      </c>
      <c r="L94" s="8" t="s">
        <v>25</v>
      </c>
      <c r="O94" s="8" t="s">
        <v>125</v>
      </c>
      <c r="P94" s="8" t="s">
        <v>123</v>
      </c>
      <c r="Q94" s="21" t="s">
        <v>125</v>
      </c>
      <c r="R94" s="21" t="s">
        <v>126</v>
      </c>
      <c r="S94" s="21" t="s">
        <v>125</v>
      </c>
      <c r="T94" s="21" t="s">
        <v>128</v>
      </c>
      <c r="U94" s="20">
        <f t="shared" si="31"/>
        <v>45702</v>
      </c>
      <c r="V94" s="8" t="s">
        <v>125</v>
      </c>
      <c r="W94" s="8" t="s">
        <v>129</v>
      </c>
      <c r="X94" s="8" t="s">
        <v>127</v>
      </c>
      <c r="Y94" s="13" t="s">
        <v>491</v>
      </c>
      <c r="Z94" s="14">
        <v>45701</v>
      </c>
      <c r="AA94" s="8">
        <v>0</v>
      </c>
    </row>
    <row r="95" spans="1:39" ht="15" customHeight="1" x14ac:dyDescent="0.2">
      <c r="A95" s="8">
        <v>94</v>
      </c>
      <c r="B95" s="8">
        <v>7969</v>
      </c>
      <c r="C95" s="14">
        <v>45701</v>
      </c>
      <c r="D95" s="8" t="s">
        <v>139</v>
      </c>
      <c r="E95" s="8" t="s">
        <v>324</v>
      </c>
      <c r="F95" s="8" t="s">
        <v>111</v>
      </c>
      <c r="G95" s="8" t="s">
        <v>493</v>
      </c>
      <c r="H95" s="8" t="s">
        <v>375</v>
      </c>
      <c r="I95" s="8" t="s">
        <v>24</v>
      </c>
      <c r="J95" s="8">
        <v>1100</v>
      </c>
      <c r="K95" s="8">
        <v>1140</v>
      </c>
      <c r="L95" s="8" t="s">
        <v>25</v>
      </c>
      <c r="O95" s="8" t="s">
        <v>500</v>
      </c>
      <c r="P95" s="8" t="s">
        <v>115</v>
      </c>
      <c r="Q95" s="8" t="s">
        <v>130</v>
      </c>
      <c r="R95" s="8" t="s">
        <v>219</v>
      </c>
      <c r="S95" s="8" t="s">
        <v>129</v>
      </c>
      <c r="T95" s="8" t="s">
        <v>128</v>
      </c>
      <c r="U95" s="20">
        <v>45709</v>
      </c>
      <c r="V95" s="20">
        <v>45702</v>
      </c>
      <c r="W95" s="8" t="s">
        <v>129</v>
      </c>
      <c r="X95" s="8" t="str">
        <f t="shared" ref="X95:X96" si="32">G95&amp;AB$1&amp;O95</f>
        <v>VINAY KUMAR SINGH/FSD/Exceedance/B737/25-02/10</v>
      </c>
      <c r="Y95" s="13" t="s">
        <v>501</v>
      </c>
      <c r="Z95" s="14">
        <v>45702</v>
      </c>
      <c r="AA95" s="8">
        <f t="shared" si="22"/>
        <v>7</v>
      </c>
    </row>
    <row r="96" spans="1:39" ht="15" customHeight="1" x14ac:dyDescent="0.2">
      <c r="A96" s="13">
        <v>95</v>
      </c>
      <c r="B96" s="8">
        <v>7970</v>
      </c>
      <c r="C96" s="14">
        <v>45701</v>
      </c>
      <c r="D96" s="8" t="s">
        <v>256</v>
      </c>
      <c r="E96" s="8" t="s">
        <v>187</v>
      </c>
      <c r="F96" s="8" t="s">
        <v>188</v>
      </c>
      <c r="G96" s="8" t="s">
        <v>361</v>
      </c>
      <c r="H96" s="8" t="s">
        <v>494</v>
      </c>
      <c r="I96" s="8" t="s">
        <v>39</v>
      </c>
      <c r="J96" s="8">
        <v>1</v>
      </c>
      <c r="K96" s="8">
        <v>1.21</v>
      </c>
      <c r="L96" s="8" t="s">
        <v>34</v>
      </c>
      <c r="O96" s="8" t="s">
        <v>505</v>
      </c>
      <c r="P96" s="8" t="s">
        <v>115</v>
      </c>
      <c r="Q96" s="8" t="s">
        <v>130</v>
      </c>
      <c r="R96" s="8" t="s">
        <v>219</v>
      </c>
      <c r="S96" s="8" t="s">
        <v>129</v>
      </c>
      <c r="T96" s="8" t="s">
        <v>128</v>
      </c>
      <c r="U96" s="20">
        <v>45709</v>
      </c>
      <c r="V96" s="20">
        <v>45702</v>
      </c>
      <c r="W96" s="8" t="s">
        <v>129</v>
      </c>
      <c r="X96" s="8" t="str">
        <f t="shared" si="32"/>
        <v>SNEHA SHEKHAWAT/FSD/Exceedance/B737/25-02/11</v>
      </c>
      <c r="Y96" s="13" t="s">
        <v>502</v>
      </c>
      <c r="Z96" s="14">
        <v>45702</v>
      </c>
      <c r="AA96" s="8">
        <f t="shared" si="22"/>
        <v>7</v>
      </c>
    </row>
    <row r="97" spans="1:27" ht="15" customHeight="1" x14ac:dyDescent="0.2">
      <c r="A97" s="8">
        <v>96</v>
      </c>
      <c r="B97" s="8" t="s">
        <v>125</v>
      </c>
      <c r="C97" s="20">
        <v>45701</v>
      </c>
      <c r="D97" s="8" t="s">
        <v>191</v>
      </c>
      <c r="E97" s="8" t="s">
        <v>495</v>
      </c>
      <c r="F97" s="8" t="s">
        <v>444</v>
      </c>
      <c r="G97" s="8" t="s">
        <v>496</v>
      </c>
      <c r="H97" s="8" t="s">
        <v>497</v>
      </c>
      <c r="I97" s="8" t="s">
        <v>57</v>
      </c>
      <c r="J97" s="8">
        <v>30</v>
      </c>
      <c r="K97" s="8">
        <v>31.1</v>
      </c>
      <c r="L97" s="8" t="s">
        <v>271</v>
      </c>
      <c r="O97" s="8" t="s">
        <v>125</v>
      </c>
      <c r="P97" s="8" t="s">
        <v>123</v>
      </c>
      <c r="Q97" s="21" t="s">
        <v>125</v>
      </c>
      <c r="R97" s="21" t="s">
        <v>126</v>
      </c>
      <c r="S97" s="21" t="s">
        <v>125</v>
      </c>
      <c r="T97" s="21" t="s">
        <v>128</v>
      </c>
      <c r="U97" s="20">
        <f t="shared" ref="U97:U98" si="33">(Z97+1)</f>
        <v>45703</v>
      </c>
      <c r="V97" s="8" t="s">
        <v>125</v>
      </c>
      <c r="W97" s="8" t="s">
        <v>129</v>
      </c>
      <c r="X97" s="8" t="s">
        <v>127</v>
      </c>
      <c r="Y97" s="24" t="s">
        <v>503</v>
      </c>
      <c r="Z97" s="14">
        <v>45702</v>
      </c>
      <c r="AA97" s="8">
        <v>0</v>
      </c>
    </row>
    <row r="98" spans="1:27" ht="15" customHeight="1" x14ac:dyDescent="0.2">
      <c r="A98" s="13">
        <v>97</v>
      </c>
      <c r="B98" s="8" t="s">
        <v>125</v>
      </c>
      <c r="C98" s="20">
        <v>45701</v>
      </c>
      <c r="D98" s="8" t="s">
        <v>131</v>
      </c>
      <c r="E98" s="8" t="s">
        <v>498</v>
      </c>
      <c r="F98" s="8" t="s">
        <v>402</v>
      </c>
      <c r="G98" s="8" t="s">
        <v>46</v>
      </c>
      <c r="H98" s="8" t="s">
        <v>499</v>
      </c>
      <c r="I98" s="8" t="s">
        <v>24</v>
      </c>
      <c r="J98" s="8">
        <v>1050</v>
      </c>
      <c r="K98" s="8">
        <v>1080</v>
      </c>
      <c r="L98" s="8" t="s">
        <v>25</v>
      </c>
      <c r="O98" s="8" t="s">
        <v>125</v>
      </c>
      <c r="P98" s="8" t="s">
        <v>123</v>
      </c>
      <c r="Q98" s="21" t="s">
        <v>125</v>
      </c>
      <c r="R98" s="21" t="s">
        <v>126</v>
      </c>
      <c r="S98" s="21" t="s">
        <v>125</v>
      </c>
      <c r="T98" s="21" t="s">
        <v>128</v>
      </c>
      <c r="U98" s="20">
        <f t="shared" si="33"/>
        <v>45703</v>
      </c>
      <c r="V98" s="8" t="s">
        <v>125</v>
      </c>
      <c r="W98" s="8" t="s">
        <v>129</v>
      </c>
      <c r="X98" s="8" t="s">
        <v>127</v>
      </c>
      <c r="Y98" s="13" t="s">
        <v>504</v>
      </c>
      <c r="Z98" s="14">
        <v>45702</v>
      </c>
      <c r="AA98" s="8">
        <v>0</v>
      </c>
    </row>
    <row r="99" spans="1:27" ht="15" customHeight="1" x14ac:dyDescent="0.2">
      <c r="A99" s="13">
        <v>98</v>
      </c>
      <c r="B99" s="8">
        <v>7975</v>
      </c>
      <c r="C99" s="14">
        <v>45703</v>
      </c>
      <c r="D99" s="8" t="s">
        <v>139</v>
      </c>
      <c r="E99" s="8" t="s">
        <v>506</v>
      </c>
      <c r="F99" s="8" t="s">
        <v>95</v>
      </c>
      <c r="G99" s="8" t="s">
        <v>448</v>
      </c>
      <c r="H99" s="8" t="s">
        <v>507</v>
      </c>
      <c r="I99" s="8" t="s">
        <v>64</v>
      </c>
      <c r="J99" s="8">
        <v>3000</v>
      </c>
      <c r="K99" s="8">
        <v>3148</v>
      </c>
      <c r="L99" s="8" t="s">
        <v>26</v>
      </c>
      <c r="O99" s="8" t="s">
        <v>508</v>
      </c>
      <c r="P99" s="8" t="s">
        <v>203</v>
      </c>
      <c r="Q99" s="8" t="s">
        <v>126</v>
      </c>
      <c r="R99" s="8" t="s">
        <v>408</v>
      </c>
      <c r="S99" s="8" t="s">
        <v>912</v>
      </c>
      <c r="T99" s="8" t="s">
        <v>128</v>
      </c>
      <c r="U99" s="20">
        <v>45754</v>
      </c>
      <c r="V99" s="20">
        <v>45704</v>
      </c>
      <c r="W99" s="8" t="s">
        <v>129</v>
      </c>
      <c r="X99" s="8" t="str">
        <f t="shared" ref="X99:X105" si="34">G99&amp;AB$1&amp;O99</f>
        <v>AMAN  JAIN/FSD/Exceedance/B737/25-02/12</v>
      </c>
      <c r="Y99" s="22" t="s">
        <v>509</v>
      </c>
      <c r="Z99" s="14">
        <v>45704</v>
      </c>
      <c r="AA99" s="8">
        <f t="shared" si="22"/>
        <v>50</v>
      </c>
    </row>
    <row r="100" spans="1:27" ht="15" customHeight="1" x14ac:dyDescent="0.2">
      <c r="A100" s="13">
        <v>99</v>
      </c>
      <c r="B100" s="8" t="s">
        <v>125</v>
      </c>
      <c r="C100" s="14">
        <v>45703</v>
      </c>
      <c r="D100" s="8" t="s">
        <v>131</v>
      </c>
      <c r="E100" s="8" t="s">
        <v>510</v>
      </c>
      <c r="F100" s="8" t="s">
        <v>388</v>
      </c>
      <c r="G100" s="8" t="s">
        <v>511</v>
      </c>
      <c r="H100" s="8" t="s">
        <v>512</v>
      </c>
      <c r="I100" s="8" t="s">
        <v>27</v>
      </c>
      <c r="J100" s="8" t="s">
        <v>294</v>
      </c>
      <c r="K100" s="8">
        <v>1544</v>
      </c>
      <c r="L100" s="8" t="s">
        <v>26</v>
      </c>
      <c r="O100" s="8" t="s">
        <v>526</v>
      </c>
      <c r="P100" s="8" t="s">
        <v>123</v>
      </c>
      <c r="Q100" s="21" t="s">
        <v>125</v>
      </c>
      <c r="R100" s="21" t="s">
        <v>126</v>
      </c>
      <c r="S100" s="21" t="s">
        <v>125</v>
      </c>
      <c r="T100" s="21" t="s">
        <v>128</v>
      </c>
      <c r="U100" s="20">
        <f t="shared" ref="U100" si="35">(Z100+1)</f>
        <v>45706</v>
      </c>
      <c r="V100" s="8" t="s">
        <v>125</v>
      </c>
      <c r="W100" s="8" t="s">
        <v>129</v>
      </c>
      <c r="X100" s="8" t="s">
        <v>127</v>
      </c>
      <c r="Y100" s="13" t="s">
        <v>522</v>
      </c>
      <c r="Z100" s="14">
        <v>45705</v>
      </c>
      <c r="AA100" s="8">
        <v>0</v>
      </c>
    </row>
    <row r="101" spans="1:27" ht="15" customHeight="1" x14ac:dyDescent="0.2">
      <c r="A101" s="8">
        <v>100</v>
      </c>
      <c r="B101" s="8">
        <v>7974</v>
      </c>
      <c r="C101" s="14">
        <v>45703</v>
      </c>
      <c r="D101" s="8" t="s">
        <v>191</v>
      </c>
      <c r="E101" s="8" t="s">
        <v>513</v>
      </c>
      <c r="F101" s="8" t="s">
        <v>514</v>
      </c>
      <c r="G101" s="8" t="s">
        <v>515</v>
      </c>
      <c r="H101" s="8" t="s">
        <v>516</v>
      </c>
      <c r="I101" s="8" t="s">
        <v>242</v>
      </c>
      <c r="K101" s="8" t="s">
        <v>517</v>
      </c>
      <c r="L101" s="8" t="s">
        <v>26</v>
      </c>
      <c r="O101" s="8" t="s">
        <v>527</v>
      </c>
      <c r="P101" s="8" t="s">
        <v>115</v>
      </c>
      <c r="Q101" s="8" t="s">
        <v>130</v>
      </c>
      <c r="R101" s="8" t="s">
        <v>219</v>
      </c>
      <c r="S101" s="8" t="s">
        <v>129</v>
      </c>
      <c r="T101" s="21" t="s">
        <v>128</v>
      </c>
      <c r="U101" s="14">
        <v>45706</v>
      </c>
      <c r="V101" s="20">
        <v>45705</v>
      </c>
      <c r="W101" s="8" t="s">
        <v>129</v>
      </c>
      <c r="X101" s="8" t="str">
        <f t="shared" si="34"/>
        <v>OLYM ROY/FSD/Exceedance/B737/25-02/14</v>
      </c>
      <c r="Y101" s="13" t="s">
        <v>523</v>
      </c>
      <c r="Z101" s="14">
        <v>45705</v>
      </c>
      <c r="AA101" s="8">
        <f t="shared" si="22"/>
        <v>1</v>
      </c>
    </row>
    <row r="102" spans="1:27" ht="15" customHeight="1" x14ac:dyDescent="0.2">
      <c r="A102" s="13">
        <v>101</v>
      </c>
      <c r="B102" s="8">
        <v>7974</v>
      </c>
      <c r="C102" s="14">
        <v>45703</v>
      </c>
      <c r="D102" s="8" t="s">
        <v>191</v>
      </c>
      <c r="E102" s="8" t="s">
        <v>513</v>
      </c>
      <c r="F102" s="8" t="s">
        <v>514</v>
      </c>
      <c r="G102" s="8" t="s">
        <v>515</v>
      </c>
      <c r="H102" s="8" t="s">
        <v>516</v>
      </c>
      <c r="I102" s="8" t="s">
        <v>518</v>
      </c>
      <c r="K102" s="8" t="s">
        <v>519</v>
      </c>
      <c r="L102" s="8" t="s">
        <v>26</v>
      </c>
      <c r="O102" s="8" t="s">
        <v>527</v>
      </c>
      <c r="P102" s="8" t="s">
        <v>115</v>
      </c>
      <c r="Q102" s="8" t="s">
        <v>130</v>
      </c>
      <c r="R102" s="8" t="s">
        <v>219</v>
      </c>
      <c r="S102" s="8" t="s">
        <v>129</v>
      </c>
      <c r="T102" s="21" t="s">
        <v>128</v>
      </c>
      <c r="U102" s="14">
        <v>45706</v>
      </c>
      <c r="V102" s="20">
        <v>45705</v>
      </c>
      <c r="W102" s="8" t="s">
        <v>129</v>
      </c>
      <c r="X102" s="8" t="str">
        <f t="shared" si="34"/>
        <v>OLYM ROY/FSD/Exceedance/B737/25-02/14</v>
      </c>
      <c r="Y102" s="13" t="s">
        <v>524</v>
      </c>
      <c r="Z102" s="14">
        <v>45705</v>
      </c>
      <c r="AA102" s="8">
        <f t="shared" si="22"/>
        <v>1</v>
      </c>
    </row>
    <row r="103" spans="1:27" ht="15" customHeight="1" x14ac:dyDescent="0.2">
      <c r="A103" s="13">
        <v>102</v>
      </c>
      <c r="B103" s="8" t="s">
        <v>125</v>
      </c>
      <c r="C103" s="14">
        <v>45704</v>
      </c>
      <c r="D103" s="8" t="s">
        <v>37</v>
      </c>
      <c r="E103" s="8" t="s">
        <v>520</v>
      </c>
      <c r="F103" s="8" t="s">
        <v>311</v>
      </c>
      <c r="G103" s="8" t="s">
        <v>224</v>
      </c>
      <c r="H103" s="8" t="s">
        <v>335</v>
      </c>
      <c r="I103" s="8" t="s">
        <v>27</v>
      </c>
      <c r="J103" s="8" t="s">
        <v>294</v>
      </c>
      <c r="K103" s="8" t="s">
        <v>521</v>
      </c>
      <c r="L103" s="8" t="s">
        <v>26</v>
      </c>
      <c r="O103" s="8" t="s">
        <v>528</v>
      </c>
      <c r="P103" s="8" t="s">
        <v>157</v>
      </c>
      <c r="Q103" s="21" t="s">
        <v>125</v>
      </c>
      <c r="R103" s="21" t="s">
        <v>126</v>
      </c>
      <c r="S103" s="21" t="s">
        <v>125</v>
      </c>
      <c r="T103" s="21" t="s">
        <v>128</v>
      </c>
      <c r="U103" s="20">
        <f t="shared" ref="U103" si="36">(Z103+1)</f>
        <v>45706</v>
      </c>
      <c r="V103" s="8" t="s">
        <v>125</v>
      </c>
      <c r="W103" s="8" t="s">
        <v>129</v>
      </c>
      <c r="X103" s="8" t="s">
        <v>127</v>
      </c>
      <c r="Y103" s="13" t="s">
        <v>525</v>
      </c>
      <c r="Z103" s="14">
        <v>45705</v>
      </c>
      <c r="AA103" s="8">
        <v>0</v>
      </c>
    </row>
    <row r="104" spans="1:27" ht="15" customHeight="1" x14ac:dyDescent="0.2">
      <c r="A104" s="13">
        <v>103</v>
      </c>
      <c r="B104" s="8">
        <v>7987</v>
      </c>
      <c r="C104" s="14">
        <v>45705</v>
      </c>
      <c r="D104" s="8" t="s">
        <v>37</v>
      </c>
      <c r="E104" s="8" t="s">
        <v>520</v>
      </c>
      <c r="F104" s="8" t="s">
        <v>311</v>
      </c>
      <c r="G104" s="8" t="s">
        <v>312</v>
      </c>
      <c r="H104" s="8" t="s">
        <v>301</v>
      </c>
      <c r="I104" s="8" t="s">
        <v>529</v>
      </c>
      <c r="J104" s="8" t="s">
        <v>530</v>
      </c>
      <c r="K104" s="8" t="s">
        <v>531</v>
      </c>
      <c r="L104" s="8" t="s">
        <v>42</v>
      </c>
      <c r="O104" s="8" t="s">
        <v>535</v>
      </c>
      <c r="P104" s="8" t="s">
        <v>115</v>
      </c>
      <c r="Q104" s="8" t="s">
        <v>130</v>
      </c>
      <c r="R104" s="8" t="s">
        <v>408</v>
      </c>
      <c r="S104" s="8" t="s">
        <v>129</v>
      </c>
      <c r="T104" s="8" t="s">
        <v>128</v>
      </c>
      <c r="U104" s="14">
        <v>45712</v>
      </c>
      <c r="V104" s="20">
        <v>45706</v>
      </c>
      <c r="W104" s="8" t="s">
        <v>129</v>
      </c>
      <c r="X104" s="8" t="str">
        <f t="shared" si="34"/>
        <v>ASHISH JAYASWAL/FSD/Exceedance/B737/25-02/16</v>
      </c>
      <c r="Y104" s="13" t="s">
        <v>533</v>
      </c>
      <c r="Z104" s="14">
        <v>45706</v>
      </c>
      <c r="AA104" s="8">
        <f t="shared" si="22"/>
        <v>6</v>
      </c>
    </row>
    <row r="105" spans="1:27" ht="15" customHeight="1" x14ac:dyDescent="0.2">
      <c r="A105" s="13">
        <v>104</v>
      </c>
      <c r="B105" s="8">
        <v>7987</v>
      </c>
      <c r="C105" s="14">
        <v>45705</v>
      </c>
      <c r="D105" s="8" t="s">
        <v>37</v>
      </c>
      <c r="E105" s="8" t="s">
        <v>520</v>
      </c>
      <c r="F105" s="8" t="s">
        <v>311</v>
      </c>
      <c r="G105" s="8" t="s">
        <v>312</v>
      </c>
      <c r="H105" s="8" t="s">
        <v>301</v>
      </c>
      <c r="I105" s="8" t="s">
        <v>136</v>
      </c>
      <c r="J105" s="8" t="s">
        <v>532</v>
      </c>
      <c r="K105" s="8" t="s">
        <v>530</v>
      </c>
      <c r="L105" s="8" t="s">
        <v>42</v>
      </c>
      <c r="O105" s="8" t="s">
        <v>535</v>
      </c>
      <c r="P105" s="8" t="s">
        <v>115</v>
      </c>
      <c r="Q105" s="8" t="s">
        <v>130</v>
      </c>
      <c r="R105" s="8" t="s">
        <v>408</v>
      </c>
      <c r="S105" s="8" t="s">
        <v>129</v>
      </c>
      <c r="T105" s="8" t="s">
        <v>128</v>
      </c>
      <c r="U105" s="14">
        <v>45712</v>
      </c>
      <c r="V105" s="20">
        <v>45706</v>
      </c>
      <c r="W105" s="8" t="s">
        <v>129</v>
      </c>
      <c r="X105" s="8" t="str">
        <f t="shared" si="34"/>
        <v>ASHISH JAYASWAL/FSD/Exceedance/B737/25-02/16</v>
      </c>
      <c r="Y105" s="13" t="s">
        <v>534</v>
      </c>
      <c r="Z105" s="14">
        <v>45706</v>
      </c>
      <c r="AA105" s="8">
        <f t="shared" si="22"/>
        <v>6</v>
      </c>
    </row>
    <row r="106" spans="1:27" ht="15" customHeight="1" x14ac:dyDescent="0.2">
      <c r="A106" s="13">
        <v>105</v>
      </c>
      <c r="B106" s="8" t="s">
        <v>125</v>
      </c>
      <c r="C106" s="14">
        <v>45707</v>
      </c>
      <c r="D106" s="8" t="s">
        <v>144</v>
      </c>
      <c r="E106" s="8" t="s">
        <v>536</v>
      </c>
      <c r="F106" s="8" t="s">
        <v>537</v>
      </c>
      <c r="G106" s="8" t="s">
        <v>336</v>
      </c>
      <c r="H106" s="8" t="s">
        <v>538</v>
      </c>
      <c r="I106" s="8" t="s">
        <v>27</v>
      </c>
      <c r="J106" s="8" t="s">
        <v>28</v>
      </c>
      <c r="K106" s="8" t="s">
        <v>539</v>
      </c>
      <c r="L106" s="8" t="s">
        <v>26</v>
      </c>
      <c r="O106" s="8" t="s">
        <v>545</v>
      </c>
      <c r="P106" s="8" t="s">
        <v>157</v>
      </c>
      <c r="Q106" s="21" t="s">
        <v>125</v>
      </c>
      <c r="R106" s="21" t="s">
        <v>126</v>
      </c>
      <c r="S106" s="21" t="s">
        <v>125</v>
      </c>
      <c r="T106" s="21" t="s">
        <v>128</v>
      </c>
      <c r="U106" s="20">
        <f t="shared" ref="U106:U110" si="37">(Z106+1)</f>
        <v>45709</v>
      </c>
      <c r="V106" s="8" t="s">
        <v>125</v>
      </c>
      <c r="W106" s="8" t="s">
        <v>129</v>
      </c>
      <c r="X106" s="8" t="s">
        <v>127</v>
      </c>
      <c r="Y106" s="13" t="s">
        <v>542</v>
      </c>
      <c r="Z106" s="14">
        <v>45708</v>
      </c>
      <c r="AA106" s="8">
        <v>0</v>
      </c>
    </row>
    <row r="107" spans="1:27" ht="15" customHeight="1" x14ac:dyDescent="0.2">
      <c r="A107" s="13">
        <v>106</v>
      </c>
      <c r="B107" s="8" t="s">
        <v>125</v>
      </c>
      <c r="C107" s="14">
        <v>45705</v>
      </c>
      <c r="D107" s="8" t="s">
        <v>66</v>
      </c>
      <c r="E107" s="8" t="s">
        <v>458</v>
      </c>
      <c r="F107" s="8" t="s">
        <v>258</v>
      </c>
      <c r="G107" s="8" t="s">
        <v>259</v>
      </c>
      <c r="H107" s="8" t="s">
        <v>316</v>
      </c>
      <c r="I107" s="8" t="s">
        <v>27</v>
      </c>
      <c r="J107" s="8" t="s">
        <v>28</v>
      </c>
      <c r="K107" s="8" t="s">
        <v>540</v>
      </c>
      <c r="L107" s="8" t="s">
        <v>26</v>
      </c>
      <c r="O107" s="8" t="s">
        <v>546</v>
      </c>
      <c r="P107" s="8" t="s">
        <v>123</v>
      </c>
      <c r="Q107" s="21" t="s">
        <v>125</v>
      </c>
      <c r="R107" s="21" t="s">
        <v>126</v>
      </c>
      <c r="S107" s="21" t="s">
        <v>125</v>
      </c>
      <c r="T107" s="21" t="s">
        <v>128</v>
      </c>
      <c r="U107" s="20">
        <f t="shared" si="37"/>
        <v>45709</v>
      </c>
      <c r="V107" s="8" t="s">
        <v>125</v>
      </c>
      <c r="W107" s="8" t="s">
        <v>129</v>
      </c>
      <c r="X107" s="8" t="s">
        <v>127</v>
      </c>
      <c r="Y107" s="13" t="s">
        <v>543</v>
      </c>
      <c r="Z107" s="14">
        <v>45708</v>
      </c>
      <c r="AA107" s="8">
        <v>0</v>
      </c>
    </row>
    <row r="108" spans="1:27" ht="15" customHeight="1" x14ac:dyDescent="0.2">
      <c r="A108" s="13">
        <v>107</v>
      </c>
      <c r="B108" s="8" t="s">
        <v>125</v>
      </c>
      <c r="C108" s="14">
        <v>45706</v>
      </c>
      <c r="D108" s="8" t="s">
        <v>66</v>
      </c>
      <c r="E108" s="8" t="s">
        <v>272</v>
      </c>
      <c r="F108" s="13" t="s">
        <v>273</v>
      </c>
      <c r="G108" s="13" t="s">
        <v>420</v>
      </c>
      <c r="H108" s="13" t="s">
        <v>541</v>
      </c>
      <c r="I108" s="8" t="s">
        <v>57</v>
      </c>
      <c r="J108" s="8">
        <v>30</v>
      </c>
      <c r="K108" s="8">
        <v>31.5</v>
      </c>
      <c r="L108" s="8" t="s">
        <v>36</v>
      </c>
      <c r="O108" s="8" t="s">
        <v>125</v>
      </c>
      <c r="P108" s="8" t="s">
        <v>123</v>
      </c>
      <c r="Q108" s="21" t="s">
        <v>125</v>
      </c>
      <c r="R108" s="21" t="s">
        <v>126</v>
      </c>
      <c r="S108" s="21" t="s">
        <v>125</v>
      </c>
      <c r="T108" s="21" t="s">
        <v>128</v>
      </c>
      <c r="U108" s="20">
        <f t="shared" si="37"/>
        <v>45709</v>
      </c>
      <c r="V108" s="8" t="s">
        <v>125</v>
      </c>
      <c r="W108" s="8" t="s">
        <v>129</v>
      </c>
      <c r="X108" s="8" t="s">
        <v>127</v>
      </c>
      <c r="Y108" s="13" t="s">
        <v>544</v>
      </c>
      <c r="Z108" s="14">
        <v>45708</v>
      </c>
      <c r="AA108" s="8">
        <v>0</v>
      </c>
    </row>
    <row r="109" spans="1:27" ht="15" customHeight="1" x14ac:dyDescent="0.2">
      <c r="A109" s="13">
        <v>108</v>
      </c>
      <c r="B109" s="8" t="s">
        <v>125</v>
      </c>
      <c r="C109" s="20">
        <v>45707</v>
      </c>
      <c r="D109" s="8" t="s">
        <v>249</v>
      </c>
      <c r="E109" s="8" t="s">
        <v>384</v>
      </c>
      <c r="F109" s="8" t="s">
        <v>385</v>
      </c>
      <c r="G109" s="13" t="s">
        <v>337</v>
      </c>
      <c r="H109" s="8" t="s">
        <v>547</v>
      </c>
      <c r="I109" s="8" t="s">
        <v>58</v>
      </c>
      <c r="J109" s="8">
        <v>1200</v>
      </c>
      <c r="K109" s="8">
        <v>1105</v>
      </c>
      <c r="L109" s="8" t="s">
        <v>26</v>
      </c>
      <c r="O109" s="8" t="s">
        <v>125</v>
      </c>
      <c r="P109" s="8" t="s">
        <v>123</v>
      </c>
      <c r="Q109" s="21" t="s">
        <v>125</v>
      </c>
      <c r="R109" s="21" t="s">
        <v>126</v>
      </c>
      <c r="S109" s="21" t="s">
        <v>125</v>
      </c>
      <c r="T109" s="21" t="s">
        <v>128</v>
      </c>
      <c r="U109" s="20">
        <f t="shared" si="37"/>
        <v>45710</v>
      </c>
      <c r="V109" s="8" t="s">
        <v>125</v>
      </c>
      <c r="W109" s="8" t="s">
        <v>129</v>
      </c>
      <c r="X109" s="8" t="s">
        <v>127</v>
      </c>
      <c r="Y109" s="13" t="s">
        <v>551</v>
      </c>
      <c r="Z109" s="14">
        <v>45709</v>
      </c>
      <c r="AA109" s="8">
        <v>0</v>
      </c>
    </row>
    <row r="110" spans="1:27" ht="15" customHeight="1" x14ac:dyDescent="0.2">
      <c r="A110" s="13">
        <v>109</v>
      </c>
      <c r="B110" s="8" t="s">
        <v>125</v>
      </c>
      <c r="C110" s="20">
        <v>45708</v>
      </c>
      <c r="D110" s="8" t="s">
        <v>191</v>
      </c>
      <c r="E110" s="8" t="s">
        <v>548</v>
      </c>
      <c r="F110" s="8" t="s">
        <v>549</v>
      </c>
      <c r="G110" s="8" t="s">
        <v>361</v>
      </c>
      <c r="H110" s="13" t="s">
        <v>550</v>
      </c>
      <c r="I110" s="8" t="s">
        <v>58</v>
      </c>
      <c r="J110" s="8">
        <v>1200</v>
      </c>
      <c r="K110" s="8">
        <v>1136</v>
      </c>
      <c r="L110" s="8" t="s">
        <v>26</v>
      </c>
      <c r="O110" s="8" t="s">
        <v>125</v>
      </c>
      <c r="P110" s="8" t="s">
        <v>123</v>
      </c>
      <c r="Q110" s="21" t="s">
        <v>125</v>
      </c>
      <c r="R110" s="21" t="s">
        <v>126</v>
      </c>
      <c r="S110" s="21" t="s">
        <v>125</v>
      </c>
      <c r="T110" s="21" t="s">
        <v>128</v>
      </c>
      <c r="U110" s="20">
        <f t="shared" si="37"/>
        <v>45710</v>
      </c>
      <c r="V110" s="8" t="s">
        <v>125</v>
      </c>
      <c r="W110" s="8" t="s">
        <v>129</v>
      </c>
      <c r="X110" s="8" t="s">
        <v>127</v>
      </c>
      <c r="Y110" s="13" t="s">
        <v>552</v>
      </c>
      <c r="Z110" s="14">
        <v>45709</v>
      </c>
      <c r="AA110" s="8">
        <v>0</v>
      </c>
    </row>
    <row r="111" spans="1:27" ht="15" customHeight="1" x14ac:dyDescent="0.2">
      <c r="A111" s="13">
        <v>110</v>
      </c>
      <c r="B111" s="8">
        <v>8022</v>
      </c>
      <c r="C111" s="14">
        <v>45708</v>
      </c>
      <c r="D111" s="8" t="s">
        <v>139</v>
      </c>
      <c r="E111" s="8" t="s">
        <v>553</v>
      </c>
      <c r="F111" s="8" t="s">
        <v>56</v>
      </c>
      <c r="G111" s="8" t="s">
        <v>303</v>
      </c>
      <c r="H111" s="8" t="s">
        <v>554</v>
      </c>
      <c r="I111" s="8" t="s">
        <v>180</v>
      </c>
      <c r="J111" s="8">
        <v>8</v>
      </c>
      <c r="K111" s="8">
        <v>11.8</v>
      </c>
      <c r="L111" s="8" t="s">
        <v>36</v>
      </c>
      <c r="O111" s="8" t="s">
        <v>556</v>
      </c>
      <c r="P111" s="8" t="s">
        <v>115</v>
      </c>
      <c r="Q111" s="8" t="s">
        <v>130</v>
      </c>
      <c r="R111" s="8" t="s">
        <v>219</v>
      </c>
      <c r="S111" s="8" t="s">
        <v>129</v>
      </c>
      <c r="T111" s="8" t="s">
        <v>128</v>
      </c>
      <c r="U111" s="14">
        <v>45712</v>
      </c>
      <c r="V111" s="20">
        <v>45710</v>
      </c>
      <c r="W111" s="8" t="s">
        <v>129</v>
      </c>
      <c r="X111" s="8" t="str">
        <f t="shared" ref="X111" si="38">G111&amp;AB$1&amp;O111</f>
        <v>AMALENDU/FSD/Exceedance/B737/25-02/19</v>
      </c>
      <c r="Y111" s="13" t="s">
        <v>558</v>
      </c>
      <c r="Z111" s="14">
        <v>45710</v>
      </c>
      <c r="AA111" s="8">
        <f t="shared" si="22"/>
        <v>2</v>
      </c>
    </row>
    <row r="112" spans="1:27" ht="15" customHeight="1" x14ac:dyDescent="0.2">
      <c r="A112" s="13">
        <v>111</v>
      </c>
      <c r="B112" s="8" t="s">
        <v>125</v>
      </c>
      <c r="C112" s="14">
        <v>45709</v>
      </c>
      <c r="D112" s="8" t="s">
        <v>168</v>
      </c>
      <c r="E112" s="8" t="s">
        <v>486</v>
      </c>
      <c r="F112" s="8" t="s">
        <v>487</v>
      </c>
      <c r="G112" s="8" t="s">
        <v>259</v>
      </c>
      <c r="H112" s="8" t="s">
        <v>386</v>
      </c>
      <c r="I112" s="8" t="s">
        <v>27</v>
      </c>
      <c r="J112" s="8" t="s">
        <v>28</v>
      </c>
      <c r="K112" s="8" t="s">
        <v>555</v>
      </c>
      <c r="L112" s="8" t="s">
        <v>26</v>
      </c>
      <c r="O112" s="8" t="s">
        <v>557</v>
      </c>
      <c r="P112" s="8" t="s">
        <v>123</v>
      </c>
      <c r="Q112" s="21" t="s">
        <v>125</v>
      </c>
      <c r="R112" s="21" t="s">
        <v>126</v>
      </c>
      <c r="S112" s="21" t="s">
        <v>125</v>
      </c>
      <c r="T112" s="21" t="s">
        <v>128</v>
      </c>
      <c r="U112" s="20">
        <f t="shared" ref="U112:U113" si="39">(Z112+1)</f>
        <v>45711</v>
      </c>
      <c r="V112" s="8" t="s">
        <v>125</v>
      </c>
      <c r="W112" s="8" t="s">
        <v>129</v>
      </c>
      <c r="X112" s="8" t="s">
        <v>127</v>
      </c>
      <c r="Y112" s="13" t="s">
        <v>559</v>
      </c>
      <c r="Z112" s="14">
        <v>45710</v>
      </c>
      <c r="AA112" s="8">
        <v>0</v>
      </c>
    </row>
    <row r="113" spans="1:27" ht="15" customHeight="1" x14ac:dyDescent="0.2">
      <c r="A113" s="13">
        <v>112</v>
      </c>
      <c r="B113" s="8" t="s">
        <v>125</v>
      </c>
      <c r="C113" s="14">
        <v>45710</v>
      </c>
      <c r="D113" s="8" t="s">
        <v>139</v>
      </c>
      <c r="E113" s="8" t="s">
        <v>553</v>
      </c>
      <c r="F113" s="8" t="s">
        <v>56</v>
      </c>
      <c r="G113" s="8" t="s">
        <v>560</v>
      </c>
      <c r="H113" s="8" t="s">
        <v>507</v>
      </c>
      <c r="I113" s="8" t="s">
        <v>27</v>
      </c>
      <c r="J113" s="8" t="s">
        <v>28</v>
      </c>
      <c r="K113" s="8" t="s">
        <v>561</v>
      </c>
      <c r="L113" s="8" t="s">
        <v>26</v>
      </c>
      <c r="O113" s="8" t="s">
        <v>563</v>
      </c>
      <c r="P113" s="8" t="s">
        <v>157</v>
      </c>
      <c r="Q113" s="21" t="s">
        <v>125</v>
      </c>
      <c r="R113" s="21" t="s">
        <v>126</v>
      </c>
      <c r="S113" s="21" t="s">
        <v>125</v>
      </c>
      <c r="T113" s="21" t="s">
        <v>128</v>
      </c>
      <c r="U113" s="20">
        <f t="shared" si="39"/>
        <v>45712</v>
      </c>
      <c r="V113" s="8" t="s">
        <v>125</v>
      </c>
      <c r="W113" s="8" t="s">
        <v>129</v>
      </c>
      <c r="X113" s="8" t="s">
        <v>127</v>
      </c>
      <c r="Y113" s="13" t="s">
        <v>562</v>
      </c>
      <c r="Z113" s="14">
        <v>45711</v>
      </c>
      <c r="AA113" s="8">
        <v>0</v>
      </c>
    </row>
    <row r="114" spans="1:27" ht="15" customHeight="1" x14ac:dyDescent="0.2">
      <c r="A114" s="13">
        <v>113</v>
      </c>
      <c r="B114" s="8">
        <v>8036</v>
      </c>
      <c r="C114" s="14">
        <v>45711</v>
      </c>
      <c r="D114" s="8" t="s">
        <v>40</v>
      </c>
      <c r="E114" s="8" t="s">
        <v>564</v>
      </c>
      <c r="F114" s="8" t="s">
        <v>402</v>
      </c>
      <c r="G114" s="8" t="s">
        <v>565</v>
      </c>
      <c r="H114" s="8" t="s">
        <v>433</v>
      </c>
      <c r="I114" s="8" t="s">
        <v>53</v>
      </c>
      <c r="J114" s="8">
        <v>300</v>
      </c>
      <c r="K114" s="8">
        <v>255</v>
      </c>
      <c r="L114" s="8" t="s">
        <v>25</v>
      </c>
      <c r="O114" s="8" t="s">
        <v>568</v>
      </c>
      <c r="P114" s="8" t="s">
        <v>115</v>
      </c>
      <c r="Q114" s="8" t="s">
        <v>130</v>
      </c>
      <c r="R114" s="8" t="s">
        <v>408</v>
      </c>
      <c r="S114" s="8" t="s">
        <v>129</v>
      </c>
      <c r="T114" s="8" t="s">
        <v>128</v>
      </c>
      <c r="U114" s="14">
        <v>45723</v>
      </c>
      <c r="V114" s="20">
        <v>45712</v>
      </c>
      <c r="W114" s="8" t="s">
        <v>129</v>
      </c>
      <c r="X114" s="8" t="str">
        <f t="shared" ref="X114:X115" si="40">G114&amp;AB$1&amp;O114</f>
        <v>ADITYA KOLATHKAR/FSD/Exceedance/B737/25-02/22</v>
      </c>
      <c r="Y114" s="13" t="s">
        <v>570</v>
      </c>
      <c r="Z114" s="14">
        <v>45712</v>
      </c>
      <c r="AA114" s="8">
        <f t="shared" si="22"/>
        <v>11</v>
      </c>
    </row>
    <row r="115" spans="1:27" ht="15" customHeight="1" x14ac:dyDescent="0.2">
      <c r="A115" s="13">
        <v>114</v>
      </c>
      <c r="B115" s="8">
        <v>8037</v>
      </c>
      <c r="C115" s="14">
        <v>45710</v>
      </c>
      <c r="D115" s="8" t="s">
        <v>30</v>
      </c>
      <c r="E115" s="8" t="s">
        <v>267</v>
      </c>
      <c r="F115" s="8" t="s">
        <v>268</v>
      </c>
      <c r="G115" s="13" t="s">
        <v>342</v>
      </c>
      <c r="H115" s="8" t="s">
        <v>566</v>
      </c>
      <c r="I115" s="8" t="s">
        <v>567</v>
      </c>
      <c r="J115" s="8">
        <v>36</v>
      </c>
      <c r="K115" s="8">
        <v>38.5</v>
      </c>
      <c r="L115" s="8" t="s">
        <v>36</v>
      </c>
      <c r="O115" s="8" t="s">
        <v>569</v>
      </c>
      <c r="P115" s="8" t="s">
        <v>203</v>
      </c>
      <c r="Q115" s="8" t="s">
        <v>126</v>
      </c>
      <c r="R115" s="8" t="s">
        <v>219</v>
      </c>
      <c r="S115" s="8" t="s">
        <v>129</v>
      </c>
      <c r="T115" s="8" t="s">
        <v>128</v>
      </c>
      <c r="U115" s="14">
        <v>45723</v>
      </c>
      <c r="V115" s="20">
        <v>45712</v>
      </c>
      <c r="W115" s="8" t="s">
        <v>129</v>
      </c>
      <c r="X115" s="8" t="str">
        <f t="shared" si="40"/>
        <v>TANMAY GANESH KELUSKAR/FSD/Exceedance/B737/25-02/23</v>
      </c>
      <c r="Y115" s="22" t="s">
        <v>571</v>
      </c>
      <c r="Z115" s="14">
        <v>45712</v>
      </c>
      <c r="AA115" s="8">
        <f t="shared" si="22"/>
        <v>11</v>
      </c>
    </row>
    <row r="116" spans="1:27" ht="15" customHeight="1" x14ac:dyDescent="0.2">
      <c r="A116" s="13">
        <v>115</v>
      </c>
      <c r="B116" s="8" t="s">
        <v>125</v>
      </c>
      <c r="C116" s="20">
        <v>45712</v>
      </c>
      <c r="D116" s="8" t="s">
        <v>144</v>
      </c>
      <c r="E116" s="8" t="s">
        <v>572</v>
      </c>
      <c r="F116" s="8" t="s">
        <v>573</v>
      </c>
      <c r="G116" s="8" t="s">
        <v>364</v>
      </c>
      <c r="H116" s="8" t="s">
        <v>574</v>
      </c>
      <c r="I116" s="8" t="s">
        <v>57</v>
      </c>
      <c r="J116" s="8">
        <v>30</v>
      </c>
      <c r="K116" s="8">
        <v>32.700000000000003</v>
      </c>
      <c r="L116" s="8" t="s">
        <v>36</v>
      </c>
      <c r="O116" s="8" t="s">
        <v>125</v>
      </c>
      <c r="P116" s="8" t="s">
        <v>123</v>
      </c>
      <c r="Q116" s="21" t="s">
        <v>125</v>
      </c>
      <c r="R116" s="21" t="s">
        <v>126</v>
      </c>
      <c r="S116" s="21" t="s">
        <v>125</v>
      </c>
      <c r="T116" s="21" t="s">
        <v>128</v>
      </c>
      <c r="U116" s="20">
        <f t="shared" ref="U116:U117" si="41">(Z116+1)</f>
        <v>45714</v>
      </c>
      <c r="V116" s="8" t="s">
        <v>125</v>
      </c>
      <c r="W116" s="8" t="s">
        <v>129</v>
      </c>
      <c r="X116" s="8" t="s">
        <v>127</v>
      </c>
      <c r="Y116" s="13" t="s">
        <v>575</v>
      </c>
      <c r="Z116" s="14">
        <v>45713</v>
      </c>
      <c r="AA116" s="8">
        <v>0</v>
      </c>
    </row>
    <row r="117" spans="1:27" ht="15" customHeight="1" x14ac:dyDescent="0.2">
      <c r="A117" s="13">
        <v>116</v>
      </c>
      <c r="B117" s="8" t="s">
        <v>125</v>
      </c>
      <c r="C117" s="14">
        <v>45712</v>
      </c>
      <c r="D117" s="8" t="s">
        <v>249</v>
      </c>
      <c r="E117" s="8" t="s">
        <v>576</v>
      </c>
      <c r="F117" s="8" t="s">
        <v>146</v>
      </c>
      <c r="G117" s="8" t="s">
        <v>235</v>
      </c>
      <c r="H117" s="8" t="s">
        <v>335</v>
      </c>
      <c r="I117" s="8" t="s">
        <v>27</v>
      </c>
      <c r="J117" s="8" t="s">
        <v>28</v>
      </c>
      <c r="K117" s="8" t="s">
        <v>577</v>
      </c>
      <c r="L117" s="8" t="s">
        <v>26</v>
      </c>
      <c r="O117" s="8" t="s">
        <v>579</v>
      </c>
      <c r="P117" s="8" t="s">
        <v>123</v>
      </c>
      <c r="Q117" s="21" t="s">
        <v>125</v>
      </c>
      <c r="R117" s="21" t="s">
        <v>126</v>
      </c>
      <c r="S117" s="21" t="s">
        <v>125</v>
      </c>
      <c r="T117" s="21" t="s">
        <v>128</v>
      </c>
      <c r="U117" s="20">
        <f t="shared" si="41"/>
        <v>45715</v>
      </c>
      <c r="V117" s="8" t="s">
        <v>125</v>
      </c>
      <c r="W117" s="8" t="s">
        <v>129</v>
      </c>
      <c r="X117" s="8" t="s">
        <v>127</v>
      </c>
      <c r="Y117" s="13" t="s">
        <v>578</v>
      </c>
      <c r="Z117" s="14">
        <v>45714</v>
      </c>
      <c r="AA117" s="8">
        <v>0</v>
      </c>
    </row>
    <row r="118" spans="1:27" ht="15" customHeight="1" x14ac:dyDescent="0.2">
      <c r="A118" s="13">
        <v>117</v>
      </c>
      <c r="B118" s="8">
        <v>8117</v>
      </c>
      <c r="C118" s="14">
        <v>45713</v>
      </c>
      <c r="D118" s="8" t="s">
        <v>144</v>
      </c>
      <c r="E118" s="8" t="s">
        <v>44</v>
      </c>
      <c r="F118" s="8" t="s">
        <v>45</v>
      </c>
      <c r="G118" s="8" t="s">
        <v>194</v>
      </c>
      <c r="H118" s="8" t="s">
        <v>433</v>
      </c>
      <c r="I118" s="8" t="s">
        <v>53</v>
      </c>
      <c r="J118" s="8">
        <v>300</v>
      </c>
      <c r="K118" s="8">
        <v>195</v>
      </c>
      <c r="L118" s="8" t="s">
        <v>25</v>
      </c>
      <c r="O118" s="8" t="s">
        <v>584</v>
      </c>
      <c r="P118" s="8" t="s">
        <v>115</v>
      </c>
      <c r="Q118" s="8" t="s">
        <v>130</v>
      </c>
      <c r="R118" s="8" t="s">
        <v>408</v>
      </c>
      <c r="S118" s="8" t="s">
        <v>129</v>
      </c>
      <c r="T118" s="8" t="s">
        <v>128</v>
      </c>
      <c r="U118" s="14">
        <v>45723</v>
      </c>
      <c r="V118" s="20">
        <v>45715</v>
      </c>
      <c r="W118" s="8" t="s">
        <v>129</v>
      </c>
      <c r="X118" s="8" t="str">
        <f t="shared" ref="X118" si="42">G118&amp;AB$1&amp;O118</f>
        <v>MAHENDRA KUVARJI CHHEDA/FSD/Exceedance/B737/25-02/25</v>
      </c>
      <c r="Y118" s="13" t="s">
        <v>581</v>
      </c>
      <c r="Z118" s="14">
        <v>45715</v>
      </c>
      <c r="AA118" s="8">
        <f t="shared" si="22"/>
        <v>8</v>
      </c>
    </row>
    <row r="119" spans="1:27" ht="15" customHeight="1" x14ac:dyDescent="0.2">
      <c r="A119" s="13">
        <v>118</v>
      </c>
      <c r="B119" s="8" t="s">
        <v>125</v>
      </c>
      <c r="C119" s="14">
        <v>45712</v>
      </c>
      <c r="D119" s="8" t="s">
        <v>66</v>
      </c>
      <c r="E119" s="8" t="s">
        <v>272</v>
      </c>
      <c r="F119" s="13" t="s">
        <v>273</v>
      </c>
      <c r="G119" s="13" t="s">
        <v>477</v>
      </c>
      <c r="H119" s="13" t="s">
        <v>381</v>
      </c>
      <c r="I119" s="8" t="s">
        <v>57</v>
      </c>
      <c r="J119" s="8">
        <v>30</v>
      </c>
      <c r="K119" s="8">
        <v>32.5</v>
      </c>
      <c r="L119" s="8" t="s">
        <v>36</v>
      </c>
      <c r="O119" s="8" t="s">
        <v>125</v>
      </c>
      <c r="P119" s="8" t="s">
        <v>123</v>
      </c>
      <c r="Q119" s="21" t="s">
        <v>125</v>
      </c>
      <c r="R119" s="21" t="s">
        <v>126</v>
      </c>
      <c r="S119" s="21" t="s">
        <v>125</v>
      </c>
      <c r="T119" s="21" t="s">
        <v>128</v>
      </c>
      <c r="U119" s="20">
        <f t="shared" ref="U119:U123" si="43">(Z119+1)</f>
        <v>45716</v>
      </c>
      <c r="V119" s="8" t="s">
        <v>125</v>
      </c>
      <c r="W119" s="8" t="s">
        <v>129</v>
      </c>
      <c r="X119" s="8" t="s">
        <v>127</v>
      </c>
      <c r="Y119" s="13" t="s">
        <v>582</v>
      </c>
      <c r="Z119" s="14">
        <v>45715</v>
      </c>
      <c r="AA119" s="8">
        <v>0</v>
      </c>
    </row>
    <row r="120" spans="1:27" ht="15" customHeight="1" x14ac:dyDescent="0.2">
      <c r="A120" s="13">
        <v>119</v>
      </c>
      <c r="B120" s="8" t="s">
        <v>125</v>
      </c>
      <c r="C120" s="14">
        <v>45713</v>
      </c>
      <c r="D120" s="8" t="s">
        <v>139</v>
      </c>
      <c r="E120" s="8" t="s">
        <v>233</v>
      </c>
      <c r="F120" s="13" t="s">
        <v>234</v>
      </c>
      <c r="G120" s="13" t="s">
        <v>274</v>
      </c>
      <c r="H120" s="13" t="s">
        <v>580</v>
      </c>
      <c r="I120" s="8" t="s">
        <v>58</v>
      </c>
      <c r="J120" s="8">
        <v>1200</v>
      </c>
      <c r="K120" s="8">
        <v>1165</v>
      </c>
      <c r="L120" s="8" t="s">
        <v>26</v>
      </c>
      <c r="O120" s="8" t="s">
        <v>125</v>
      </c>
      <c r="P120" s="8" t="s">
        <v>123</v>
      </c>
      <c r="Q120" s="21" t="s">
        <v>125</v>
      </c>
      <c r="R120" s="21" t="s">
        <v>126</v>
      </c>
      <c r="S120" s="21" t="s">
        <v>125</v>
      </c>
      <c r="T120" s="21" t="s">
        <v>128</v>
      </c>
      <c r="U120" s="20">
        <f t="shared" si="43"/>
        <v>45716</v>
      </c>
      <c r="V120" s="8" t="s">
        <v>125</v>
      </c>
      <c r="W120" s="8" t="s">
        <v>129</v>
      </c>
      <c r="X120" s="8" t="s">
        <v>127</v>
      </c>
      <c r="Y120" s="13" t="s">
        <v>583</v>
      </c>
      <c r="Z120" s="14">
        <v>45715</v>
      </c>
      <c r="AA120" s="8">
        <v>0</v>
      </c>
    </row>
    <row r="121" spans="1:27" ht="15" customHeight="1" x14ac:dyDescent="0.2">
      <c r="A121" s="13">
        <v>120</v>
      </c>
      <c r="B121" s="8" t="s">
        <v>125</v>
      </c>
      <c r="C121" s="14">
        <v>45714</v>
      </c>
      <c r="D121" s="8" t="s">
        <v>131</v>
      </c>
      <c r="E121" s="8" t="s">
        <v>585</v>
      </c>
      <c r="F121" s="8" t="s">
        <v>586</v>
      </c>
      <c r="G121" s="8" t="s">
        <v>587</v>
      </c>
      <c r="H121" s="8" t="s">
        <v>389</v>
      </c>
      <c r="I121" s="8" t="s">
        <v>27</v>
      </c>
      <c r="J121" s="8" t="s">
        <v>28</v>
      </c>
      <c r="K121" s="8" t="s">
        <v>588</v>
      </c>
      <c r="L121" s="8" t="s">
        <v>26</v>
      </c>
      <c r="O121" s="8" t="s">
        <v>589</v>
      </c>
      <c r="P121" s="8" t="s">
        <v>123</v>
      </c>
      <c r="Q121" s="21" t="s">
        <v>125</v>
      </c>
      <c r="R121" s="21" t="s">
        <v>126</v>
      </c>
      <c r="S121" s="21" t="s">
        <v>125</v>
      </c>
      <c r="T121" s="21" t="s">
        <v>128</v>
      </c>
      <c r="U121" s="20">
        <f t="shared" si="43"/>
        <v>45717</v>
      </c>
      <c r="V121" s="8" t="s">
        <v>125</v>
      </c>
      <c r="W121" s="8" t="s">
        <v>129</v>
      </c>
      <c r="X121" s="8" t="s">
        <v>127</v>
      </c>
      <c r="Y121" s="13" t="s">
        <v>590</v>
      </c>
      <c r="Z121" s="14">
        <v>45716</v>
      </c>
      <c r="AA121" s="8">
        <v>0</v>
      </c>
    </row>
    <row r="122" spans="1:27" ht="15" customHeight="1" x14ac:dyDescent="0.2">
      <c r="A122" s="13">
        <v>121</v>
      </c>
      <c r="B122" s="8" t="s">
        <v>125</v>
      </c>
      <c r="C122" s="14">
        <v>45716</v>
      </c>
      <c r="D122" s="8" t="s">
        <v>54</v>
      </c>
      <c r="E122" s="8" t="s">
        <v>591</v>
      </c>
      <c r="F122" s="8" t="s">
        <v>592</v>
      </c>
      <c r="G122" s="8" t="s">
        <v>593</v>
      </c>
      <c r="H122" s="8" t="s">
        <v>200</v>
      </c>
      <c r="I122" s="8" t="s">
        <v>344</v>
      </c>
      <c r="J122" s="8" t="s">
        <v>28</v>
      </c>
      <c r="K122" s="8" t="s">
        <v>594</v>
      </c>
      <c r="L122" s="8" t="s">
        <v>26</v>
      </c>
      <c r="O122" s="8" t="s">
        <v>600</v>
      </c>
      <c r="P122" s="8" t="s">
        <v>157</v>
      </c>
      <c r="Q122" s="21" t="s">
        <v>125</v>
      </c>
      <c r="R122" s="21" t="s">
        <v>126</v>
      </c>
      <c r="S122" s="21" t="s">
        <v>125</v>
      </c>
      <c r="T122" s="21" t="s">
        <v>128</v>
      </c>
      <c r="U122" s="20">
        <f t="shared" si="43"/>
        <v>45718</v>
      </c>
      <c r="V122" s="8" t="s">
        <v>125</v>
      </c>
      <c r="W122" s="8" t="s">
        <v>129</v>
      </c>
      <c r="X122" s="8" t="s">
        <v>127</v>
      </c>
      <c r="Y122" s="13" t="s">
        <v>603</v>
      </c>
      <c r="Z122" s="14">
        <v>45717</v>
      </c>
      <c r="AA122" s="8">
        <v>0</v>
      </c>
    </row>
    <row r="123" spans="1:27" ht="15" customHeight="1" x14ac:dyDescent="0.2">
      <c r="A123" s="13">
        <v>122</v>
      </c>
      <c r="B123" s="8" t="s">
        <v>125</v>
      </c>
      <c r="C123" s="14">
        <v>45716</v>
      </c>
      <c r="D123" s="8" t="s">
        <v>54</v>
      </c>
      <c r="E123" s="8" t="s">
        <v>591</v>
      </c>
      <c r="F123" s="8" t="s">
        <v>592</v>
      </c>
      <c r="G123" s="8" t="s">
        <v>593</v>
      </c>
      <c r="H123" s="8" t="s">
        <v>200</v>
      </c>
      <c r="I123" s="8" t="s">
        <v>345</v>
      </c>
      <c r="J123" s="8" t="s">
        <v>28</v>
      </c>
      <c r="K123" s="8" t="s">
        <v>595</v>
      </c>
      <c r="L123" s="8" t="s">
        <v>26</v>
      </c>
      <c r="O123" s="8" t="s">
        <v>600</v>
      </c>
      <c r="P123" s="8" t="s">
        <v>157</v>
      </c>
      <c r="Q123" s="21" t="s">
        <v>125</v>
      </c>
      <c r="R123" s="21" t="s">
        <v>126</v>
      </c>
      <c r="S123" s="21" t="s">
        <v>125</v>
      </c>
      <c r="T123" s="21" t="s">
        <v>128</v>
      </c>
      <c r="U123" s="20">
        <f t="shared" si="43"/>
        <v>45718</v>
      </c>
      <c r="V123" s="8" t="s">
        <v>125</v>
      </c>
      <c r="W123" s="8" t="s">
        <v>129</v>
      </c>
      <c r="X123" s="8" t="s">
        <v>127</v>
      </c>
      <c r="Y123" s="13" t="s">
        <v>604</v>
      </c>
      <c r="Z123" s="14">
        <v>45717</v>
      </c>
      <c r="AA123" s="8">
        <v>0</v>
      </c>
    </row>
    <row r="124" spans="1:27" ht="15" customHeight="1" x14ac:dyDescent="0.2">
      <c r="A124" s="13">
        <v>123</v>
      </c>
      <c r="B124" s="8">
        <v>8059</v>
      </c>
      <c r="C124" s="14">
        <v>45716</v>
      </c>
      <c r="D124" s="8" t="s">
        <v>54</v>
      </c>
      <c r="E124" s="8" t="s">
        <v>591</v>
      </c>
      <c r="F124" s="8" t="s">
        <v>592</v>
      </c>
      <c r="G124" s="8" t="s">
        <v>593</v>
      </c>
      <c r="H124" s="8" t="s">
        <v>200</v>
      </c>
      <c r="I124" s="8" t="s">
        <v>24</v>
      </c>
      <c r="J124" s="8">
        <v>1100</v>
      </c>
      <c r="K124" s="8">
        <v>1170</v>
      </c>
      <c r="L124" s="8" t="s">
        <v>25</v>
      </c>
      <c r="O124" s="8" t="s">
        <v>600</v>
      </c>
      <c r="P124" s="8" t="s">
        <v>203</v>
      </c>
      <c r="Q124" s="8" t="s">
        <v>126</v>
      </c>
      <c r="R124" s="8" t="s">
        <v>408</v>
      </c>
      <c r="S124" s="8" t="s">
        <v>129</v>
      </c>
      <c r="T124" s="21" t="s">
        <v>128</v>
      </c>
      <c r="U124" s="14">
        <v>45726</v>
      </c>
      <c r="V124" s="20">
        <v>45717</v>
      </c>
      <c r="W124" s="8" t="s">
        <v>129</v>
      </c>
      <c r="X124" s="8" t="str">
        <f t="shared" ref="X124:X127" si="44">G124&amp;AB$1&amp;O124</f>
        <v>CHARAN SINGH CHOUDHARY/FSD/Exceedance/B737/25-02/27</v>
      </c>
      <c r="Y124" s="13" t="s">
        <v>605</v>
      </c>
      <c r="Z124" s="14">
        <v>45717</v>
      </c>
      <c r="AA124" s="8">
        <f t="shared" si="22"/>
        <v>9</v>
      </c>
    </row>
    <row r="125" spans="1:27" ht="15" customHeight="1" x14ac:dyDescent="0.2">
      <c r="A125" s="13">
        <v>124</v>
      </c>
      <c r="B125" s="8">
        <v>8060</v>
      </c>
      <c r="C125" s="14">
        <v>45716</v>
      </c>
      <c r="D125" s="8" t="s">
        <v>139</v>
      </c>
      <c r="E125" s="8" t="s">
        <v>596</v>
      </c>
      <c r="F125" s="8" t="s">
        <v>514</v>
      </c>
      <c r="G125" s="8" t="s">
        <v>432</v>
      </c>
      <c r="H125" s="8" t="s">
        <v>499</v>
      </c>
      <c r="I125" s="8" t="s">
        <v>38</v>
      </c>
      <c r="K125" s="8" t="s">
        <v>597</v>
      </c>
      <c r="L125" s="8" t="s">
        <v>26</v>
      </c>
      <c r="O125" s="8" t="s">
        <v>601</v>
      </c>
      <c r="P125" s="8" t="s">
        <v>203</v>
      </c>
      <c r="Q125" s="8" t="s">
        <v>126</v>
      </c>
      <c r="R125" s="8" t="s">
        <v>408</v>
      </c>
      <c r="S125" s="8" t="s">
        <v>129</v>
      </c>
      <c r="T125" s="8" t="s">
        <v>128</v>
      </c>
      <c r="U125" s="20">
        <v>45733</v>
      </c>
      <c r="V125" s="20">
        <v>45717</v>
      </c>
      <c r="W125" s="8" t="s">
        <v>129</v>
      </c>
      <c r="X125" s="8" t="str">
        <f t="shared" si="44"/>
        <v>SHAKTI SATYAKUMAR KAUSHAL/FSD/Exceedance/B737/25-02/28</v>
      </c>
      <c r="Y125" s="13" t="s">
        <v>606</v>
      </c>
      <c r="Z125" s="14">
        <v>45717</v>
      </c>
      <c r="AA125" s="8">
        <f t="shared" si="22"/>
        <v>16</v>
      </c>
    </row>
    <row r="126" spans="1:27" ht="15" customHeight="1" x14ac:dyDescent="0.2">
      <c r="A126" s="13">
        <v>125</v>
      </c>
      <c r="B126" s="8">
        <v>8060</v>
      </c>
      <c r="C126" s="14">
        <v>45716</v>
      </c>
      <c r="D126" s="8" t="s">
        <v>139</v>
      </c>
      <c r="E126" s="8" t="s">
        <v>596</v>
      </c>
      <c r="F126" s="8" t="s">
        <v>514</v>
      </c>
      <c r="G126" s="8" t="s">
        <v>432</v>
      </c>
      <c r="H126" s="8" t="s">
        <v>499</v>
      </c>
      <c r="I126" s="8" t="s">
        <v>39</v>
      </c>
      <c r="J126" s="8">
        <v>1</v>
      </c>
      <c r="K126" s="8">
        <v>2.09</v>
      </c>
      <c r="L126" s="8" t="s">
        <v>34</v>
      </c>
      <c r="O126" s="8" t="s">
        <v>601</v>
      </c>
      <c r="P126" s="8" t="s">
        <v>203</v>
      </c>
      <c r="Q126" s="8" t="s">
        <v>126</v>
      </c>
      <c r="R126" s="8" t="s">
        <v>408</v>
      </c>
      <c r="S126" s="8" t="s">
        <v>129</v>
      </c>
      <c r="T126" s="8" t="s">
        <v>128</v>
      </c>
      <c r="U126" s="20">
        <v>45733</v>
      </c>
      <c r="V126" s="20">
        <v>45717</v>
      </c>
      <c r="W126" s="8" t="s">
        <v>129</v>
      </c>
      <c r="X126" s="8" t="str">
        <f t="shared" si="44"/>
        <v>SHAKTI SATYAKUMAR KAUSHAL/FSD/Exceedance/B737/25-02/28</v>
      </c>
      <c r="Y126" s="13" t="s">
        <v>607</v>
      </c>
      <c r="Z126" s="14">
        <v>45717</v>
      </c>
      <c r="AA126" s="8">
        <f t="shared" si="22"/>
        <v>16</v>
      </c>
    </row>
    <row r="127" spans="1:27" ht="15" customHeight="1" x14ac:dyDescent="0.2">
      <c r="A127" s="13">
        <v>126</v>
      </c>
      <c r="B127" s="8">
        <v>8061</v>
      </c>
      <c r="C127" s="14">
        <v>45715</v>
      </c>
      <c r="D127" s="8" t="s">
        <v>40</v>
      </c>
      <c r="E127" s="8" t="s">
        <v>598</v>
      </c>
      <c r="F127" s="8" t="s">
        <v>599</v>
      </c>
      <c r="G127" s="8" t="s">
        <v>334</v>
      </c>
      <c r="H127" s="8" t="s">
        <v>122</v>
      </c>
      <c r="I127" s="8" t="s">
        <v>529</v>
      </c>
      <c r="J127" s="8" t="s">
        <v>530</v>
      </c>
      <c r="K127" s="8" t="s">
        <v>531</v>
      </c>
      <c r="L127" s="8" t="s">
        <v>42</v>
      </c>
      <c r="O127" s="8" t="s">
        <v>602</v>
      </c>
      <c r="P127" s="8" t="s">
        <v>115</v>
      </c>
      <c r="Q127" s="8" t="s">
        <v>130</v>
      </c>
      <c r="R127" s="8" t="s">
        <v>408</v>
      </c>
      <c r="S127" s="8" t="s">
        <v>129</v>
      </c>
      <c r="T127" s="8" t="s">
        <v>128</v>
      </c>
      <c r="U127" s="20">
        <v>45723</v>
      </c>
      <c r="V127" s="20">
        <v>45717</v>
      </c>
      <c r="W127" s="8" t="s">
        <v>129</v>
      </c>
      <c r="X127" s="8" t="str">
        <f t="shared" si="44"/>
        <v>FARZAND SINGH/FSD/Exceedance/B737/25-02/29</v>
      </c>
      <c r="Y127" s="13" t="s">
        <v>608</v>
      </c>
      <c r="Z127" s="14">
        <v>45717</v>
      </c>
      <c r="AA127" s="8">
        <f t="shared" si="22"/>
        <v>6</v>
      </c>
    </row>
    <row r="128" spans="1:27" ht="15" customHeight="1" x14ac:dyDescent="0.2">
      <c r="A128" s="13">
        <v>127</v>
      </c>
      <c r="B128" s="8" t="s">
        <v>125</v>
      </c>
      <c r="C128" s="14">
        <v>45715</v>
      </c>
      <c r="D128" s="8" t="s">
        <v>40</v>
      </c>
      <c r="E128" s="8" t="s">
        <v>598</v>
      </c>
      <c r="F128" s="8" t="s">
        <v>599</v>
      </c>
      <c r="G128" s="8" t="s">
        <v>334</v>
      </c>
      <c r="H128" s="8" t="s">
        <v>122</v>
      </c>
      <c r="I128" s="8" t="s">
        <v>136</v>
      </c>
      <c r="J128" s="8" t="s">
        <v>137</v>
      </c>
      <c r="K128" s="8" t="s">
        <v>138</v>
      </c>
      <c r="L128" s="8" t="s">
        <v>42</v>
      </c>
      <c r="O128" s="8" t="s">
        <v>125</v>
      </c>
      <c r="P128" s="8" t="s">
        <v>123</v>
      </c>
      <c r="Q128" s="21" t="s">
        <v>125</v>
      </c>
      <c r="R128" s="21" t="s">
        <v>126</v>
      </c>
      <c r="S128" s="21" t="s">
        <v>125</v>
      </c>
      <c r="T128" s="21" t="s">
        <v>128</v>
      </c>
      <c r="U128" s="20">
        <f t="shared" ref="U128:U130" si="45">(Z128+1)</f>
        <v>45718</v>
      </c>
      <c r="V128" s="8" t="s">
        <v>125</v>
      </c>
      <c r="W128" s="8" t="s">
        <v>129</v>
      </c>
      <c r="X128" s="8" t="s">
        <v>127</v>
      </c>
      <c r="Y128" s="13" t="s">
        <v>609</v>
      </c>
      <c r="Z128" s="14">
        <v>45717</v>
      </c>
      <c r="AA128" s="8">
        <v>0</v>
      </c>
    </row>
    <row r="129" spans="1:27" ht="15" customHeight="1" x14ac:dyDescent="0.2">
      <c r="A129" s="13">
        <v>128</v>
      </c>
      <c r="B129" s="8" t="s">
        <v>125</v>
      </c>
      <c r="C129" s="14">
        <v>45717</v>
      </c>
      <c r="D129" s="8" t="s">
        <v>249</v>
      </c>
      <c r="E129" s="8" t="s">
        <v>110</v>
      </c>
      <c r="F129" s="8" t="s">
        <v>411</v>
      </c>
      <c r="G129" s="8" t="s">
        <v>610</v>
      </c>
      <c r="H129" s="8" t="s">
        <v>148</v>
      </c>
      <c r="I129" s="8" t="s">
        <v>27</v>
      </c>
      <c r="J129" s="8" t="s">
        <v>28</v>
      </c>
      <c r="K129" s="8" t="s">
        <v>611</v>
      </c>
      <c r="L129" s="8" t="s">
        <v>26</v>
      </c>
      <c r="O129" s="8" t="s">
        <v>629</v>
      </c>
      <c r="P129" s="8" t="s">
        <v>157</v>
      </c>
      <c r="Q129" s="21" t="s">
        <v>125</v>
      </c>
      <c r="R129" s="21" t="s">
        <v>126</v>
      </c>
      <c r="S129" s="21" t="s">
        <v>125</v>
      </c>
      <c r="T129" s="21" t="s">
        <v>128</v>
      </c>
      <c r="U129" s="20">
        <f t="shared" si="45"/>
        <v>45719</v>
      </c>
      <c r="V129" s="8" t="s">
        <v>125</v>
      </c>
      <c r="W129" s="8" t="s">
        <v>129</v>
      </c>
      <c r="X129" s="8" t="s">
        <v>127</v>
      </c>
      <c r="Y129" s="13" t="s">
        <v>623</v>
      </c>
      <c r="Z129" s="14">
        <v>45718</v>
      </c>
      <c r="AA129" s="8">
        <v>0</v>
      </c>
    </row>
    <row r="130" spans="1:27" ht="15" customHeight="1" x14ac:dyDescent="0.2">
      <c r="A130" s="13">
        <v>129</v>
      </c>
      <c r="B130" s="8" t="s">
        <v>125</v>
      </c>
      <c r="C130" s="14">
        <v>45717</v>
      </c>
      <c r="D130" s="8" t="s">
        <v>37</v>
      </c>
      <c r="E130" s="8" t="s">
        <v>486</v>
      </c>
      <c r="F130" s="8" t="s">
        <v>487</v>
      </c>
      <c r="G130" s="8" t="s">
        <v>454</v>
      </c>
      <c r="H130" s="8" t="s">
        <v>386</v>
      </c>
      <c r="I130" s="8" t="s">
        <v>27</v>
      </c>
      <c r="J130" s="8" t="s">
        <v>28</v>
      </c>
      <c r="K130" s="8" t="s">
        <v>612</v>
      </c>
      <c r="L130" s="8" t="s">
        <v>26</v>
      </c>
      <c r="O130" s="8" t="s">
        <v>630</v>
      </c>
      <c r="P130" s="8" t="s">
        <v>157</v>
      </c>
      <c r="Q130" s="21" t="s">
        <v>125</v>
      </c>
      <c r="R130" s="21" t="s">
        <v>126</v>
      </c>
      <c r="S130" s="21" t="s">
        <v>125</v>
      </c>
      <c r="T130" s="21" t="s">
        <v>128</v>
      </c>
      <c r="U130" s="20">
        <f t="shared" si="45"/>
        <v>45719</v>
      </c>
      <c r="V130" s="8" t="s">
        <v>125</v>
      </c>
      <c r="W130" s="8" t="s">
        <v>129</v>
      </c>
      <c r="X130" s="8" t="s">
        <v>127</v>
      </c>
      <c r="Y130" s="13" t="s">
        <v>624</v>
      </c>
      <c r="Z130" s="14">
        <v>45718</v>
      </c>
      <c r="AA130" s="8">
        <v>0</v>
      </c>
    </row>
    <row r="131" spans="1:27" ht="15" customHeight="1" x14ac:dyDescent="0.2">
      <c r="A131" s="13">
        <v>130</v>
      </c>
      <c r="B131" s="8">
        <v>8071</v>
      </c>
      <c r="C131" s="14">
        <v>45717</v>
      </c>
      <c r="D131" s="8" t="s">
        <v>249</v>
      </c>
      <c r="E131" s="8" t="s">
        <v>553</v>
      </c>
      <c r="F131" s="8" t="s">
        <v>56</v>
      </c>
      <c r="G131" s="8" t="s">
        <v>235</v>
      </c>
      <c r="H131" s="8" t="s">
        <v>613</v>
      </c>
      <c r="I131" s="8" t="s">
        <v>614</v>
      </c>
      <c r="J131" s="8">
        <v>200</v>
      </c>
      <c r="K131" s="8">
        <v>203.8</v>
      </c>
      <c r="L131" s="8" t="s">
        <v>42</v>
      </c>
      <c r="O131" s="8" t="s">
        <v>631</v>
      </c>
      <c r="P131" s="8" t="s">
        <v>115</v>
      </c>
      <c r="Q131" s="8" t="s">
        <v>130</v>
      </c>
      <c r="R131" s="8" t="s">
        <v>408</v>
      </c>
      <c r="S131" s="8" t="s">
        <v>129</v>
      </c>
      <c r="T131" s="8" t="s">
        <v>128</v>
      </c>
      <c r="U131" s="20">
        <v>45723</v>
      </c>
      <c r="V131" s="20">
        <v>45718</v>
      </c>
      <c r="W131" s="8" t="s">
        <v>129</v>
      </c>
      <c r="X131" s="8" t="str">
        <f t="shared" ref="X131:X134" si="46">G131&amp;AB$1&amp;O131</f>
        <v>DRON THAKUR/FSD/Exceedance/B737/25-03/03</v>
      </c>
      <c r="Y131" s="13" t="s">
        <v>625</v>
      </c>
      <c r="Z131" s="14">
        <v>45718</v>
      </c>
      <c r="AA131" s="8">
        <f t="shared" ref="AA131:AA193" si="47">(U131-V131)</f>
        <v>5</v>
      </c>
    </row>
    <row r="132" spans="1:27" ht="15" customHeight="1" x14ac:dyDescent="0.2">
      <c r="A132" s="13">
        <v>131</v>
      </c>
      <c r="B132" s="8">
        <v>8072</v>
      </c>
      <c r="C132" s="14">
        <v>45717</v>
      </c>
      <c r="D132" s="8" t="s">
        <v>139</v>
      </c>
      <c r="E132" s="8" t="s">
        <v>615</v>
      </c>
      <c r="F132" s="8" t="s">
        <v>616</v>
      </c>
      <c r="G132" s="8" t="s">
        <v>287</v>
      </c>
      <c r="H132" s="8" t="s">
        <v>47</v>
      </c>
      <c r="I132" s="8" t="s">
        <v>289</v>
      </c>
      <c r="J132" s="8">
        <v>0.3</v>
      </c>
      <c r="K132" s="8">
        <v>0.2</v>
      </c>
      <c r="L132" s="8" t="s">
        <v>36</v>
      </c>
      <c r="O132" s="8" t="s">
        <v>632</v>
      </c>
      <c r="P132" s="8" t="s">
        <v>115</v>
      </c>
      <c r="Q132" s="8" t="s">
        <v>130</v>
      </c>
      <c r="R132" s="8" t="s">
        <v>219</v>
      </c>
      <c r="S132" s="8" t="s">
        <v>129</v>
      </c>
      <c r="T132" s="8" t="s">
        <v>128</v>
      </c>
      <c r="U132" s="20">
        <v>45723</v>
      </c>
      <c r="V132" s="20">
        <v>45718</v>
      </c>
      <c r="W132" s="8" t="s">
        <v>129</v>
      </c>
      <c r="X132" s="8" t="str">
        <f t="shared" si="46"/>
        <v>RAJIV MOHAN/FSD/Exceedance/B737/25-03/04</v>
      </c>
      <c r="Y132" s="13" t="s">
        <v>626</v>
      </c>
      <c r="Z132" s="14">
        <v>45718</v>
      </c>
      <c r="AA132" s="8">
        <f t="shared" si="47"/>
        <v>5</v>
      </c>
    </row>
    <row r="133" spans="1:27" ht="15" customHeight="1" x14ac:dyDescent="0.2">
      <c r="A133" s="13">
        <v>132</v>
      </c>
      <c r="B133" s="8">
        <v>8073</v>
      </c>
      <c r="C133" s="14">
        <v>45717</v>
      </c>
      <c r="D133" s="8" t="s">
        <v>139</v>
      </c>
      <c r="E133" s="8" t="s">
        <v>617</v>
      </c>
      <c r="F133" s="8" t="s">
        <v>618</v>
      </c>
      <c r="G133" s="8" t="s">
        <v>619</v>
      </c>
      <c r="H133" s="8" t="s">
        <v>170</v>
      </c>
      <c r="I133" s="8" t="s">
        <v>620</v>
      </c>
      <c r="J133" s="8">
        <v>0.82</v>
      </c>
      <c r="K133" s="8">
        <v>0.83899999999999997</v>
      </c>
      <c r="L133" s="8" t="s">
        <v>621</v>
      </c>
      <c r="O133" s="8" t="s">
        <v>633</v>
      </c>
      <c r="P133" s="8" t="s">
        <v>203</v>
      </c>
      <c r="Q133" s="8" t="s">
        <v>126</v>
      </c>
      <c r="R133" s="8" t="s">
        <v>219</v>
      </c>
      <c r="S133" s="8" t="s">
        <v>129</v>
      </c>
      <c r="T133" s="8" t="s">
        <v>128</v>
      </c>
      <c r="U133" s="20">
        <v>45764</v>
      </c>
      <c r="V133" s="20">
        <v>45718</v>
      </c>
      <c r="W133" s="8" t="s">
        <v>129</v>
      </c>
      <c r="X133" s="8" t="str">
        <f t="shared" si="46"/>
        <v>MANAS CHATTERJEE/FSD/Exceedance/B737/25-03/05</v>
      </c>
      <c r="Y133" s="13" t="s">
        <v>627</v>
      </c>
      <c r="Z133" s="14">
        <v>45718</v>
      </c>
    </row>
    <row r="134" spans="1:27" ht="15" customHeight="1" x14ac:dyDescent="0.2">
      <c r="A134" s="13">
        <v>133</v>
      </c>
      <c r="B134" s="8">
        <v>8074</v>
      </c>
      <c r="C134" s="14">
        <v>45717</v>
      </c>
      <c r="D134" s="8" t="s">
        <v>131</v>
      </c>
      <c r="E134" s="8" t="s">
        <v>330</v>
      </c>
      <c r="F134" s="8" t="s">
        <v>331</v>
      </c>
      <c r="G134" s="8" t="s">
        <v>593</v>
      </c>
      <c r="H134" s="8" t="s">
        <v>622</v>
      </c>
      <c r="I134" s="8" t="s">
        <v>24</v>
      </c>
      <c r="J134" s="8">
        <v>1100</v>
      </c>
      <c r="K134" s="8">
        <v>1230</v>
      </c>
      <c r="L134" s="8" t="s">
        <v>25</v>
      </c>
      <c r="O134" s="8" t="s">
        <v>634</v>
      </c>
      <c r="P134" s="8" t="s">
        <v>115</v>
      </c>
      <c r="Q134" s="8" t="s">
        <v>130</v>
      </c>
      <c r="R134" s="8" t="s">
        <v>408</v>
      </c>
      <c r="S134" s="8" t="s">
        <v>129</v>
      </c>
      <c r="T134" s="8" t="s">
        <v>128</v>
      </c>
      <c r="U134" s="20">
        <v>45727</v>
      </c>
      <c r="V134" s="20">
        <v>45718</v>
      </c>
      <c r="W134" s="8" t="s">
        <v>129</v>
      </c>
      <c r="X134" s="8" t="str">
        <f t="shared" si="46"/>
        <v>CHARAN SINGH CHOUDHARY/FSD/Exceedance/B737/25-03/06</v>
      </c>
      <c r="Y134" s="13" t="s">
        <v>628</v>
      </c>
      <c r="Z134" s="14">
        <v>45718</v>
      </c>
      <c r="AA134" s="8">
        <f t="shared" si="47"/>
        <v>9</v>
      </c>
    </row>
    <row r="135" spans="1:27" ht="15" customHeight="1" x14ac:dyDescent="0.2">
      <c r="A135" s="13">
        <v>134</v>
      </c>
      <c r="B135" s="8" t="s">
        <v>125</v>
      </c>
      <c r="C135" s="14">
        <v>45718</v>
      </c>
      <c r="D135" s="8" t="s">
        <v>191</v>
      </c>
      <c r="E135" s="8" t="s">
        <v>59</v>
      </c>
      <c r="F135" s="8" t="s">
        <v>635</v>
      </c>
      <c r="G135" s="8" t="s">
        <v>378</v>
      </c>
      <c r="H135" s="8" t="s">
        <v>190</v>
      </c>
      <c r="I135" s="8" t="s">
        <v>27</v>
      </c>
      <c r="J135" s="8" t="s">
        <v>28</v>
      </c>
      <c r="K135" s="8" t="s">
        <v>636</v>
      </c>
      <c r="L135" s="8" t="s">
        <v>26</v>
      </c>
      <c r="O135" s="8" t="s">
        <v>643</v>
      </c>
      <c r="P135" s="8" t="s">
        <v>639</v>
      </c>
      <c r="Q135" s="21" t="s">
        <v>125</v>
      </c>
      <c r="R135" s="21" t="s">
        <v>126</v>
      </c>
      <c r="S135" s="21" t="s">
        <v>125</v>
      </c>
      <c r="T135" s="21" t="s">
        <v>128</v>
      </c>
      <c r="U135" s="20">
        <f t="shared" ref="U135:U136" si="48">(Z135+1)</f>
        <v>45720</v>
      </c>
      <c r="V135" s="8" t="s">
        <v>125</v>
      </c>
      <c r="W135" s="8" t="s">
        <v>129</v>
      </c>
      <c r="X135" s="8" t="s">
        <v>127</v>
      </c>
      <c r="Y135" s="13" t="s">
        <v>640</v>
      </c>
      <c r="Z135" s="20">
        <v>45719</v>
      </c>
      <c r="AA135" s="8">
        <v>0</v>
      </c>
    </row>
    <row r="136" spans="1:27" ht="15" customHeight="1" x14ac:dyDescent="0.2">
      <c r="A136" s="13">
        <v>135</v>
      </c>
      <c r="B136" s="8" t="s">
        <v>125</v>
      </c>
      <c r="C136" s="14">
        <v>45718</v>
      </c>
      <c r="D136" s="8" t="s">
        <v>168</v>
      </c>
      <c r="E136" s="8" t="s">
        <v>464</v>
      </c>
      <c r="F136" s="8" t="s">
        <v>465</v>
      </c>
      <c r="G136" s="8" t="s">
        <v>637</v>
      </c>
      <c r="H136" s="8" t="s">
        <v>485</v>
      </c>
      <c r="I136" s="8" t="s">
        <v>27</v>
      </c>
      <c r="J136" s="8" t="s">
        <v>28</v>
      </c>
      <c r="K136" s="8" t="s">
        <v>638</v>
      </c>
      <c r="L136" s="8" t="s">
        <v>26</v>
      </c>
      <c r="O136" s="8" t="s">
        <v>644</v>
      </c>
      <c r="P136" s="8" t="s">
        <v>639</v>
      </c>
      <c r="Q136" s="21" t="s">
        <v>125</v>
      </c>
      <c r="R136" s="21" t="s">
        <v>126</v>
      </c>
      <c r="S136" s="21" t="s">
        <v>125</v>
      </c>
      <c r="T136" s="21" t="s">
        <v>128</v>
      </c>
      <c r="U136" s="20">
        <f t="shared" si="48"/>
        <v>45720</v>
      </c>
      <c r="V136" s="8" t="s">
        <v>125</v>
      </c>
      <c r="W136" s="8" t="s">
        <v>129</v>
      </c>
      <c r="X136" s="8" t="s">
        <v>127</v>
      </c>
      <c r="Y136" s="13" t="s">
        <v>641</v>
      </c>
      <c r="Z136" s="20">
        <v>45719</v>
      </c>
      <c r="AA136" s="8">
        <v>0</v>
      </c>
    </row>
    <row r="137" spans="1:27" ht="15" customHeight="1" x14ac:dyDescent="0.2">
      <c r="A137" s="13">
        <v>136</v>
      </c>
      <c r="B137" s="8">
        <v>8070</v>
      </c>
      <c r="C137" s="14">
        <v>45718</v>
      </c>
      <c r="D137" s="8" t="s">
        <v>168</v>
      </c>
      <c r="E137" s="8" t="s">
        <v>486</v>
      </c>
      <c r="F137" s="8" t="s">
        <v>487</v>
      </c>
      <c r="G137" s="8" t="s">
        <v>637</v>
      </c>
      <c r="H137" s="8" t="s">
        <v>485</v>
      </c>
      <c r="I137" s="8" t="s">
        <v>53</v>
      </c>
      <c r="J137" s="8">
        <v>300</v>
      </c>
      <c r="K137" s="8">
        <v>210</v>
      </c>
      <c r="L137" s="8" t="s">
        <v>25</v>
      </c>
      <c r="O137" s="8" t="s">
        <v>644</v>
      </c>
      <c r="P137" s="13" t="s">
        <v>115</v>
      </c>
      <c r="Q137" s="8" t="s">
        <v>130</v>
      </c>
      <c r="R137" s="8" t="s">
        <v>219</v>
      </c>
      <c r="S137" s="8" t="s">
        <v>129</v>
      </c>
      <c r="T137" s="8" t="s">
        <v>128</v>
      </c>
      <c r="U137" s="14">
        <v>45771</v>
      </c>
      <c r="V137" s="20">
        <v>45719</v>
      </c>
      <c r="W137" s="8" t="s">
        <v>129</v>
      </c>
      <c r="X137" s="8" t="str">
        <f t="shared" ref="X137" si="49">G137&amp;AB$1&amp;O137</f>
        <v>PAVANDEEP SINGH BHASIN/FSD/Exceedance/B737/25-03/08</v>
      </c>
      <c r="Y137" s="13" t="s">
        <v>642</v>
      </c>
      <c r="Z137" s="20">
        <v>45719</v>
      </c>
    </row>
    <row r="138" spans="1:27" ht="15" customHeight="1" x14ac:dyDescent="0.2">
      <c r="A138" s="13">
        <v>137</v>
      </c>
      <c r="B138" s="8" t="s">
        <v>125</v>
      </c>
      <c r="C138" s="14">
        <v>45717</v>
      </c>
      <c r="D138" s="8" t="s">
        <v>54</v>
      </c>
      <c r="E138" s="8" t="s">
        <v>162</v>
      </c>
      <c r="F138" s="8" t="s">
        <v>45</v>
      </c>
      <c r="G138" s="8" t="s">
        <v>46</v>
      </c>
      <c r="H138" s="8" t="s">
        <v>512</v>
      </c>
      <c r="I138" s="8" t="s">
        <v>391</v>
      </c>
      <c r="J138" s="8" t="s">
        <v>392</v>
      </c>
      <c r="K138" s="8" t="s">
        <v>645</v>
      </c>
      <c r="L138" s="8" t="s">
        <v>42</v>
      </c>
      <c r="O138" s="8" t="s">
        <v>125</v>
      </c>
      <c r="P138" s="8" t="s">
        <v>123</v>
      </c>
      <c r="Q138" s="21" t="s">
        <v>125</v>
      </c>
      <c r="R138" s="21" t="s">
        <v>126</v>
      </c>
      <c r="S138" s="21" t="s">
        <v>125</v>
      </c>
      <c r="T138" s="21" t="s">
        <v>128</v>
      </c>
      <c r="U138" s="20">
        <f t="shared" ref="U138:U141" si="50">(Z138+1)</f>
        <v>45721</v>
      </c>
      <c r="V138" s="8" t="s">
        <v>125</v>
      </c>
      <c r="W138" s="8" t="s">
        <v>129</v>
      </c>
      <c r="X138" s="8" t="s">
        <v>127</v>
      </c>
      <c r="Y138" s="13" t="s">
        <v>655</v>
      </c>
      <c r="Z138" s="20">
        <v>45720</v>
      </c>
      <c r="AA138" s="8">
        <v>0</v>
      </c>
    </row>
    <row r="139" spans="1:27" ht="15" customHeight="1" x14ac:dyDescent="0.2">
      <c r="A139" s="13">
        <v>138</v>
      </c>
      <c r="B139" s="8" t="s">
        <v>125</v>
      </c>
      <c r="C139" s="14">
        <v>45718</v>
      </c>
      <c r="D139" s="8" t="s">
        <v>40</v>
      </c>
      <c r="E139" s="8" t="s">
        <v>572</v>
      </c>
      <c r="F139" s="8" t="s">
        <v>573</v>
      </c>
      <c r="G139" s="8" t="s">
        <v>646</v>
      </c>
      <c r="H139" s="8" t="s">
        <v>88</v>
      </c>
      <c r="I139" s="8" t="s">
        <v>57</v>
      </c>
      <c r="J139" s="8">
        <v>30</v>
      </c>
      <c r="K139" s="8">
        <v>32.200000000000003</v>
      </c>
      <c r="L139" s="8" t="s">
        <v>36</v>
      </c>
      <c r="O139" s="8" t="s">
        <v>125</v>
      </c>
      <c r="P139" s="8" t="s">
        <v>123</v>
      </c>
      <c r="Q139" s="21" t="s">
        <v>125</v>
      </c>
      <c r="R139" s="21" t="s">
        <v>126</v>
      </c>
      <c r="S139" s="21" t="s">
        <v>125</v>
      </c>
      <c r="T139" s="21" t="s">
        <v>128</v>
      </c>
      <c r="U139" s="20">
        <f t="shared" si="50"/>
        <v>45721</v>
      </c>
      <c r="V139" s="8" t="s">
        <v>125</v>
      </c>
      <c r="W139" s="8" t="s">
        <v>129</v>
      </c>
      <c r="X139" s="8" t="s">
        <v>127</v>
      </c>
      <c r="Y139" s="13" t="s">
        <v>656</v>
      </c>
      <c r="Z139" s="20">
        <v>45720</v>
      </c>
      <c r="AA139" s="8">
        <v>0</v>
      </c>
    </row>
    <row r="140" spans="1:27" ht="15.75" customHeight="1" x14ac:dyDescent="0.2">
      <c r="A140" s="13">
        <v>139</v>
      </c>
      <c r="B140" s="8" t="s">
        <v>125</v>
      </c>
      <c r="C140" s="14">
        <v>45718</v>
      </c>
      <c r="D140" s="8" t="s">
        <v>66</v>
      </c>
      <c r="E140" s="8" t="s">
        <v>553</v>
      </c>
      <c r="F140" s="8" t="s">
        <v>56</v>
      </c>
      <c r="G140" s="8" t="s">
        <v>647</v>
      </c>
      <c r="H140" s="8" t="s">
        <v>613</v>
      </c>
      <c r="I140" s="8" t="s">
        <v>24</v>
      </c>
      <c r="J140" s="8">
        <v>1050</v>
      </c>
      <c r="K140" s="8">
        <v>1095</v>
      </c>
      <c r="L140" s="8" t="s">
        <v>25</v>
      </c>
      <c r="O140" s="8" t="s">
        <v>125</v>
      </c>
      <c r="P140" s="8" t="s">
        <v>123</v>
      </c>
      <c r="Q140" s="21" t="s">
        <v>125</v>
      </c>
      <c r="R140" s="21" t="s">
        <v>126</v>
      </c>
      <c r="S140" s="21" t="s">
        <v>125</v>
      </c>
      <c r="T140" s="21" t="s">
        <v>128</v>
      </c>
      <c r="U140" s="20">
        <f t="shared" si="50"/>
        <v>45721</v>
      </c>
      <c r="V140" s="8" t="s">
        <v>125</v>
      </c>
      <c r="W140" s="8" t="s">
        <v>129</v>
      </c>
      <c r="X140" s="8" t="s">
        <v>127</v>
      </c>
      <c r="Y140" s="13" t="s">
        <v>657</v>
      </c>
      <c r="Z140" s="20">
        <v>45720</v>
      </c>
      <c r="AA140" s="8">
        <v>0</v>
      </c>
    </row>
    <row r="141" spans="1:27" ht="15" customHeight="1" x14ac:dyDescent="0.2">
      <c r="A141" s="13">
        <v>140</v>
      </c>
      <c r="B141" s="8" t="s">
        <v>125</v>
      </c>
      <c r="C141" s="14">
        <v>45719</v>
      </c>
      <c r="D141" s="8" t="s">
        <v>30</v>
      </c>
      <c r="E141" s="8" t="s">
        <v>648</v>
      </c>
      <c r="F141" s="8" t="s">
        <v>649</v>
      </c>
      <c r="G141" s="8" t="s">
        <v>650</v>
      </c>
      <c r="H141" s="8" t="s">
        <v>651</v>
      </c>
      <c r="I141" s="8" t="s">
        <v>27</v>
      </c>
      <c r="J141" s="8" t="s">
        <v>28</v>
      </c>
      <c r="K141" s="8">
        <v>1327</v>
      </c>
      <c r="L141" s="8" t="s">
        <v>26</v>
      </c>
      <c r="O141" s="8" t="s">
        <v>661</v>
      </c>
      <c r="P141" s="8" t="s">
        <v>157</v>
      </c>
      <c r="Q141" s="21" t="s">
        <v>125</v>
      </c>
      <c r="R141" s="21" t="s">
        <v>126</v>
      </c>
      <c r="S141" s="21" t="s">
        <v>125</v>
      </c>
      <c r="T141" s="21" t="s">
        <v>128</v>
      </c>
      <c r="U141" s="20">
        <f t="shared" si="50"/>
        <v>45721</v>
      </c>
      <c r="V141" s="8" t="s">
        <v>125</v>
      </c>
      <c r="W141" s="8" t="s">
        <v>129</v>
      </c>
      <c r="X141" s="8" t="s">
        <v>127</v>
      </c>
      <c r="Y141" s="13" t="s">
        <v>658</v>
      </c>
      <c r="Z141" s="20">
        <v>45720</v>
      </c>
      <c r="AA141" s="8">
        <v>0</v>
      </c>
    </row>
    <row r="142" spans="1:27" ht="15" customHeight="1" x14ac:dyDescent="0.2">
      <c r="A142" s="13">
        <v>141</v>
      </c>
      <c r="B142" s="8">
        <v>8085</v>
      </c>
      <c r="C142" s="14">
        <v>45719</v>
      </c>
      <c r="D142" s="8" t="s">
        <v>139</v>
      </c>
      <c r="E142" s="8" t="s">
        <v>474</v>
      </c>
      <c r="F142" s="8" t="s">
        <v>592</v>
      </c>
      <c r="G142" s="8" t="s">
        <v>587</v>
      </c>
      <c r="H142" s="8" t="s">
        <v>200</v>
      </c>
      <c r="I142" s="8" t="s">
        <v>39</v>
      </c>
      <c r="J142" s="8">
        <v>1</v>
      </c>
      <c r="K142" s="8">
        <v>1.96</v>
      </c>
      <c r="L142" s="8" t="s">
        <v>34</v>
      </c>
      <c r="O142" s="8" t="s">
        <v>662</v>
      </c>
      <c r="P142" s="8" t="s">
        <v>115</v>
      </c>
      <c r="Q142" s="8" t="s">
        <v>130</v>
      </c>
      <c r="R142" s="8" t="s">
        <v>408</v>
      </c>
      <c r="S142" s="8" t="s">
        <v>129</v>
      </c>
      <c r="T142" s="8" t="s">
        <v>128</v>
      </c>
      <c r="U142" s="20">
        <v>45736</v>
      </c>
      <c r="V142" s="20">
        <v>45720</v>
      </c>
      <c r="W142" s="8" t="s">
        <v>129</v>
      </c>
      <c r="X142" s="8" t="str">
        <f t="shared" ref="X142:X144" si="51">G142&amp;AB$1&amp;O142</f>
        <v>SAURAV CHAKRABARTY/FSD/Exceedance/B737/25-03/10</v>
      </c>
      <c r="Y142" s="13" t="s">
        <v>659</v>
      </c>
      <c r="Z142" s="20">
        <v>45720</v>
      </c>
      <c r="AA142" s="8">
        <f t="shared" si="47"/>
        <v>16</v>
      </c>
    </row>
    <row r="143" spans="1:27" ht="15" customHeight="1" x14ac:dyDescent="0.2">
      <c r="A143" s="13">
        <v>142</v>
      </c>
      <c r="B143" s="8">
        <v>8086</v>
      </c>
      <c r="C143" s="14">
        <v>45719</v>
      </c>
      <c r="D143" s="8" t="s">
        <v>40</v>
      </c>
      <c r="E143" s="8" t="s">
        <v>652</v>
      </c>
      <c r="F143" s="8" t="s">
        <v>653</v>
      </c>
      <c r="G143" s="8" t="s">
        <v>646</v>
      </c>
      <c r="H143" s="8" t="s">
        <v>55</v>
      </c>
      <c r="I143" s="8" t="s">
        <v>529</v>
      </c>
      <c r="J143" s="8" t="s">
        <v>69</v>
      </c>
      <c r="K143" s="8" t="s">
        <v>654</v>
      </c>
      <c r="L143" s="8" t="s">
        <v>42</v>
      </c>
      <c r="O143" s="8" t="s">
        <v>663</v>
      </c>
      <c r="P143" s="8" t="s">
        <v>115</v>
      </c>
      <c r="Q143" s="8" t="s">
        <v>130</v>
      </c>
      <c r="R143" s="8" t="s">
        <v>219</v>
      </c>
      <c r="S143" s="8" t="s">
        <v>129</v>
      </c>
      <c r="T143" s="8" t="s">
        <v>128</v>
      </c>
      <c r="U143" s="20">
        <v>45726</v>
      </c>
      <c r="V143" s="20">
        <v>45720</v>
      </c>
      <c r="W143" s="8" t="s">
        <v>129</v>
      </c>
      <c r="X143" s="8" t="str">
        <f t="shared" si="51"/>
        <v>NITIN DEV SAVLODIA/FSD/Exceedance/B737/25-03/11</v>
      </c>
      <c r="Y143" s="13" t="s">
        <v>660</v>
      </c>
      <c r="Z143" s="20">
        <v>45720</v>
      </c>
      <c r="AA143" s="8">
        <f t="shared" si="47"/>
        <v>6</v>
      </c>
    </row>
    <row r="144" spans="1:27" ht="15" customHeight="1" x14ac:dyDescent="0.2">
      <c r="A144" s="13"/>
      <c r="B144" s="8">
        <v>8103</v>
      </c>
      <c r="C144" s="14">
        <v>45719</v>
      </c>
      <c r="D144" s="8" t="s">
        <v>144</v>
      </c>
      <c r="E144" s="8" t="s">
        <v>110</v>
      </c>
      <c r="F144" s="8" t="s">
        <v>111</v>
      </c>
      <c r="G144" s="8" t="s">
        <v>292</v>
      </c>
      <c r="H144" s="8" t="s">
        <v>664</v>
      </c>
      <c r="I144" s="8" t="s">
        <v>24</v>
      </c>
      <c r="J144" s="8">
        <v>1100</v>
      </c>
      <c r="K144" s="8">
        <v>1185</v>
      </c>
      <c r="L144" s="8" t="s">
        <v>26</v>
      </c>
      <c r="O144" s="8" t="s">
        <v>673</v>
      </c>
      <c r="P144" s="8" t="s">
        <v>115</v>
      </c>
      <c r="Q144" s="8" t="s">
        <v>130</v>
      </c>
      <c r="R144" s="8" t="s">
        <v>219</v>
      </c>
      <c r="S144" s="8" t="s">
        <v>129</v>
      </c>
      <c r="T144" s="8" t="s">
        <v>128</v>
      </c>
      <c r="U144" s="20">
        <v>45726</v>
      </c>
      <c r="V144" s="20">
        <v>45721</v>
      </c>
      <c r="W144" s="8" t="s">
        <v>129</v>
      </c>
      <c r="X144" s="8" t="str">
        <f t="shared" si="51"/>
        <v>HARICHARAN SATYANARAYAN BANSAL/FSD/Exceedance/B737/25-03/12</v>
      </c>
      <c r="Y144" s="13" t="s">
        <v>669</v>
      </c>
      <c r="Z144" s="20">
        <v>45721</v>
      </c>
      <c r="AA144" s="8">
        <f t="shared" si="47"/>
        <v>5</v>
      </c>
    </row>
    <row r="145" spans="1:27" ht="15" customHeight="1" x14ac:dyDescent="0.2">
      <c r="A145" s="13">
        <v>144</v>
      </c>
      <c r="B145" s="8" t="s">
        <v>125</v>
      </c>
      <c r="C145" s="14">
        <v>45719</v>
      </c>
      <c r="D145" s="8" t="s">
        <v>168</v>
      </c>
      <c r="E145" s="8" t="s">
        <v>265</v>
      </c>
      <c r="F145" s="8" t="s">
        <v>263</v>
      </c>
      <c r="G145" s="8" t="s">
        <v>312</v>
      </c>
      <c r="H145" s="8" t="s">
        <v>665</v>
      </c>
      <c r="I145" s="8" t="s">
        <v>666</v>
      </c>
      <c r="K145" s="8">
        <v>216</v>
      </c>
      <c r="L145" s="8" t="s">
        <v>26</v>
      </c>
      <c r="O145" s="8" t="s">
        <v>125</v>
      </c>
      <c r="P145" s="8" t="s">
        <v>123</v>
      </c>
      <c r="Q145" s="21" t="s">
        <v>125</v>
      </c>
      <c r="R145" s="21" t="s">
        <v>126</v>
      </c>
      <c r="S145" s="21" t="s">
        <v>125</v>
      </c>
      <c r="T145" s="21" t="s">
        <v>128</v>
      </c>
      <c r="U145" s="20">
        <f t="shared" ref="U145:U149" si="52">(Z145+1)</f>
        <v>45722</v>
      </c>
      <c r="V145" s="8" t="s">
        <v>125</v>
      </c>
      <c r="W145" s="8" t="s">
        <v>129</v>
      </c>
      <c r="X145" s="8" t="s">
        <v>127</v>
      </c>
      <c r="Y145" s="13" t="s">
        <v>670</v>
      </c>
      <c r="Z145" s="20">
        <v>45721</v>
      </c>
      <c r="AA145" s="8">
        <v>0</v>
      </c>
    </row>
    <row r="146" spans="1:27" ht="15" customHeight="1" x14ac:dyDescent="0.2">
      <c r="A146" s="13">
        <v>145</v>
      </c>
      <c r="B146" s="8" t="s">
        <v>125</v>
      </c>
      <c r="C146" s="14">
        <v>45720</v>
      </c>
      <c r="D146" s="8" t="s">
        <v>168</v>
      </c>
      <c r="E146" s="8" t="s">
        <v>464</v>
      </c>
      <c r="F146" s="8" t="s">
        <v>465</v>
      </c>
      <c r="G146" s="8" t="s">
        <v>667</v>
      </c>
      <c r="H146" s="8" t="s">
        <v>668</v>
      </c>
      <c r="I146" s="8" t="s">
        <v>89</v>
      </c>
      <c r="J146" s="8" t="s">
        <v>530</v>
      </c>
      <c r="K146" s="8" t="s">
        <v>483</v>
      </c>
      <c r="L146" s="8" t="s">
        <v>42</v>
      </c>
      <c r="O146" s="8" t="s">
        <v>125</v>
      </c>
      <c r="P146" s="8" t="s">
        <v>123</v>
      </c>
      <c r="Q146" s="21" t="s">
        <v>125</v>
      </c>
      <c r="R146" s="21" t="s">
        <v>126</v>
      </c>
      <c r="S146" s="21" t="s">
        <v>125</v>
      </c>
      <c r="T146" s="21" t="s">
        <v>128</v>
      </c>
      <c r="U146" s="20">
        <f t="shared" si="52"/>
        <v>45722</v>
      </c>
      <c r="V146" s="8" t="s">
        <v>125</v>
      </c>
      <c r="W146" s="8" t="s">
        <v>129</v>
      </c>
      <c r="X146" s="8" t="s">
        <v>127</v>
      </c>
      <c r="Y146" s="26" t="s">
        <v>671</v>
      </c>
      <c r="Z146" s="20">
        <v>45721</v>
      </c>
      <c r="AA146" s="8">
        <v>0</v>
      </c>
    </row>
    <row r="147" spans="1:27" ht="15" customHeight="1" x14ac:dyDescent="0.2">
      <c r="A147" s="13">
        <v>146</v>
      </c>
      <c r="B147" s="8" t="s">
        <v>125</v>
      </c>
      <c r="C147" s="14">
        <v>45720</v>
      </c>
      <c r="D147" s="8" t="s">
        <v>48</v>
      </c>
      <c r="E147" s="8" t="s">
        <v>164</v>
      </c>
      <c r="F147" s="8" t="s">
        <v>165</v>
      </c>
      <c r="G147" s="8" t="s">
        <v>222</v>
      </c>
      <c r="H147" s="8" t="s">
        <v>476</v>
      </c>
      <c r="I147" s="8" t="s">
        <v>57</v>
      </c>
      <c r="J147" s="8">
        <v>30</v>
      </c>
      <c r="K147" s="8">
        <v>31.5</v>
      </c>
      <c r="L147" s="8" t="s">
        <v>271</v>
      </c>
      <c r="O147" s="8" t="s">
        <v>125</v>
      </c>
      <c r="P147" s="8" t="s">
        <v>123</v>
      </c>
      <c r="Q147" s="21" t="s">
        <v>125</v>
      </c>
      <c r="R147" s="21" t="s">
        <v>126</v>
      </c>
      <c r="S147" s="21" t="s">
        <v>125</v>
      </c>
      <c r="T147" s="21" t="s">
        <v>128</v>
      </c>
      <c r="U147" s="20">
        <f t="shared" si="52"/>
        <v>45722</v>
      </c>
      <c r="V147" s="8" t="s">
        <v>125</v>
      </c>
      <c r="W147" s="8" t="s">
        <v>129</v>
      </c>
      <c r="X147" s="8" t="s">
        <v>127</v>
      </c>
      <c r="Y147" s="13" t="s">
        <v>672</v>
      </c>
      <c r="Z147" s="20">
        <v>45721</v>
      </c>
      <c r="AA147" s="8">
        <v>0</v>
      </c>
    </row>
    <row r="148" spans="1:27" ht="15" customHeight="1" x14ac:dyDescent="0.2">
      <c r="A148" s="13">
        <v>147</v>
      </c>
      <c r="B148" s="8" t="s">
        <v>125</v>
      </c>
      <c r="C148" s="14">
        <v>45721</v>
      </c>
      <c r="D148" s="8" t="s">
        <v>412</v>
      </c>
      <c r="E148" s="8" t="s">
        <v>110</v>
      </c>
      <c r="F148" s="8" t="s">
        <v>111</v>
      </c>
      <c r="G148" s="8" t="s">
        <v>112</v>
      </c>
      <c r="H148" s="8" t="s">
        <v>266</v>
      </c>
      <c r="I148" s="8" t="s">
        <v>24</v>
      </c>
      <c r="J148" s="8">
        <v>1050</v>
      </c>
      <c r="K148" s="8">
        <v>1168</v>
      </c>
      <c r="L148" s="8" t="s">
        <v>25</v>
      </c>
      <c r="O148" s="8" t="s">
        <v>125</v>
      </c>
      <c r="P148" s="8" t="s">
        <v>123</v>
      </c>
      <c r="Q148" s="21" t="s">
        <v>125</v>
      </c>
      <c r="R148" s="21" t="s">
        <v>126</v>
      </c>
      <c r="S148" s="21" t="s">
        <v>125</v>
      </c>
      <c r="T148" s="21" t="s">
        <v>128</v>
      </c>
      <c r="U148" s="20">
        <f t="shared" si="52"/>
        <v>45723</v>
      </c>
      <c r="V148" s="8" t="s">
        <v>125</v>
      </c>
      <c r="W148" s="8" t="s">
        <v>129</v>
      </c>
      <c r="X148" s="8" t="s">
        <v>127</v>
      </c>
      <c r="Y148" s="13" t="s">
        <v>676</v>
      </c>
      <c r="Z148" s="20">
        <v>45722</v>
      </c>
      <c r="AA148" s="8">
        <v>0</v>
      </c>
    </row>
    <row r="149" spans="1:27" ht="15" customHeight="1" x14ac:dyDescent="0.2">
      <c r="A149" s="13">
        <v>148</v>
      </c>
      <c r="B149" s="8" t="s">
        <v>125</v>
      </c>
      <c r="C149" s="14">
        <v>45720</v>
      </c>
      <c r="D149" s="8" t="s">
        <v>40</v>
      </c>
      <c r="E149" s="8" t="s">
        <v>44</v>
      </c>
      <c r="F149" s="8" t="s">
        <v>45</v>
      </c>
      <c r="G149" s="8" t="s">
        <v>674</v>
      </c>
      <c r="H149" s="8" t="s">
        <v>343</v>
      </c>
      <c r="I149" s="8" t="s">
        <v>391</v>
      </c>
      <c r="J149" s="8" t="s">
        <v>392</v>
      </c>
      <c r="K149" s="8" t="s">
        <v>675</v>
      </c>
      <c r="L149" s="8" t="s">
        <v>42</v>
      </c>
      <c r="O149" s="8" t="s">
        <v>125</v>
      </c>
      <c r="P149" s="8" t="s">
        <v>123</v>
      </c>
      <c r="Q149" s="21" t="s">
        <v>125</v>
      </c>
      <c r="R149" s="21" t="s">
        <v>126</v>
      </c>
      <c r="S149" s="21" t="s">
        <v>125</v>
      </c>
      <c r="T149" s="21" t="s">
        <v>128</v>
      </c>
      <c r="U149" s="20">
        <f t="shared" si="52"/>
        <v>45723</v>
      </c>
      <c r="V149" s="8" t="s">
        <v>125</v>
      </c>
      <c r="W149" s="8" t="s">
        <v>129</v>
      </c>
      <c r="X149" s="8" t="s">
        <v>127</v>
      </c>
      <c r="Y149" s="13" t="s">
        <v>677</v>
      </c>
      <c r="Z149" s="20">
        <v>45722</v>
      </c>
      <c r="AA149" s="8">
        <v>0</v>
      </c>
    </row>
    <row r="150" spans="1:27" ht="15" customHeight="1" x14ac:dyDescent="0.2">
      <c r="A150" s="13">
        <v>149</v>
      </c>
      <c r="B150" s="8">
        <v>8104</v>
      </c>
      <c r="C150" s="14">
        <v>45721</v>
      </c>
      <c r="D150" s="8" t="s">
        <v>249</v>
      </c>
      <c r="E150" s="8" t="s">
        <v>617</v>
      </c>
      <c r="F150" s="8" t="s">
        <v>678</v>
      </c>
      <c r="G150" s="8" t="s">
        <v>650</v>
      </c>
      <c r="H150" s="8" t="s">
        <v>679</v>
      </c>
      <c r="I150" s="8" t="s">
        <v>289</v>
      </c>
      <c r="J150" s="8">
        <v>0.3</v>
      </c>
      <c r="K150" s="8">
        <v>-0.5</v>
      </c>
      <c r="L150" s="8" t="s">
        <v>36</v>
      </c>
      <c r="O150" s="8" t="s">
        <v>699</v>
      </c>
      <c r="P150" s="8" t="s">
        <v>115</v>
      </c>
      <c r="Q150" s="8" t="s">
        <v>130</v>
      </c>
      <c r="R150" s="8" t="s">
        <v>408</v>
      </c>
      <c r="S150" s="8" t="s">
        <v>129</v>
      </c>
      <c r="T150" s="8" t="s">
        <v>128</v>
      </c>
      <c r="U150" s="20">
        <v>45764</v>
      </c>
      <c r="V150" s="20">
        <v>45723</v>
      </c>
      <c r="W150" s="8" t="s">
        <v>129</v>
      </c>
      <c r="X150" s="8" t="str">
        <f t="shared" ref="X150:X152" si="53">G150&amp;AB$1&amp;O150</f>
        <v>MOHIT BHARDWAJ/FSD/Exceedance/B737/25-03/13</v>
      </c>
      <c r="Y150" s="13" t="s">
        <v>693</v>
      </c>
      <c r="Z150" s="20">
        <v>45723</v>
      </c>
    </row>
    <row r="151" spans="1:27" ht="15" customHeight="1" x14ac:dyDescent="0.2">
      <c r="A151" s="13">
        <v>150</v>
      </c>
      <c r="B151" s="8" t="s">
        <v>125</v>
      </c>
      <c r="C151" s="14">
        <v>45721</v>
      </c>
      <c r="D151" s="8" t="s">
        <v>256</v>
      </c>
      <c r="E151" s="8" t="s">
        <v>680</v>
      </c>
      <c r="F151" s="13" t="s">
        <v>681</v>
      </c>
      <c r="G151" s="13" t="s">
        <v>215</v>
      </c>
      <c r="H151" s="13" t="s">
        <v>497</v>
      </c>
      <c r="I151" s="8" t="s">
        <v>27</v>
      </c>
      <c r="J151" s="8" t="s">
        <v>28</v>
      </c>
      <c r="K151" s="13">
        <v>3767</v>
      </c>
      <c r="L151" s="13" t="s">
        <v>26</v>
      </c>
      <c r="O151" s="8" t="s">
        <v>700</v>
      </c>
      <c r="P151" s="8" t="s">
        <v>123</v>
      </c>
      <c r="Q151" s="21" t="s">
        <v>125</v>
      </c>
      <c r="R151" s="21" t="s">
        <v>126</v>
      </c>
      <c r="S151" s="21" t="s">
        <v>125</v>
      </c>
      <c r="T151" s="21" t="s">
        <v>128</v>
      </c>
      <c r="U151" s="20">
        <f t="shared" ref="U151" si="54">(Z151+1)</f>
        <v>45724</v>
      </c>
      <c r="V151" s="8" t="s">
        <v>125</v>
      </c>
      <c r="W151" s="8" t="s">
        <v>129</v>
      </c>
      <c r="X151" s="8" t="s">
        <v>127</v>
      </c>
      <c r="Y151" s="13" t="s">
        <v>694</v>
      </c>
      <c r="Z151" s="20">
        <v>45723</v>
      </c>
      <c r="AA151" s="8">
        <v>0</v>
      </c>
    </row>
    <row r="152" spans="1:27" ht="15" customHeight="1" x14ac:dyDescent="0.2">
      <c r="A152" s="13">
        <v>151</v>
      </c>
      <c r="B152" s="8">
        <v>8105</v>
      </c>
      <c r="C152" s="14">
        <v>45721</v>
      </c>
      <c r="D152" s="13" t="s">
        <v>139</v>
      </c>
      <c r="E152" s="13" t="s">
        <v>682</v>
      </c>
      <c r="F152" s="13" t="s">
        <v>683</v>
      </c>
      <c r="G152" s="13" t="s">
        <v>684</v>
      </c>
      <c r="H152" s="13" t="s">
        <v>312</v>
      </c>
      <c r="I152" s="8" t="s">
        <v>529</v>
      </c>
      <c r="J152" s="8" t="s">
        <v>530</v>
      </c>
      <c r="K152" s="8" t="s">
        <v>685</v>
      </c>
      <c r="L152" s="8" t="s">
        <v>42</v>
      </c>
      <c r="O152" s="8" t="s">
        <v>701</v>
      </c>
      <c r="P152" s="13" t="s">
        <v>115</v>
      </c>
      <c r="Q152" s="8" t="s">
        <v>130</v>
      </c>
      <c r="R152" s="8" t="s">
        <v>408</v>
      </c>
      <c r="S152" s="8" t="s">
        <v>129</v>
      </c>
      <c r="T152" s="8" t="s">
        <v>128</v>
      </c>
      <c r="U152" s="14">
        <v>45733</v>
      </c>
      <c r="V152" s="20">
        <v>45723</v>
      </c>
      <c r="W152" s="8" t="s">
        <v>129</v>
      </c>
      <c r="X152" s="8" t="str">
        <f t="shared" si="53"/>
        <v>DIVYANSHU CHATURVEDI/FSD/Exceedance/B737/25-03/15</v>
      </c>
      <c r="Y152" s="13" t="s">
        <v>695</v>
      </c>
      <c r="Z152" s="20">
        <v>45723</v>
      </c>
      <c r="AA152" s="8">
        <f t="shared" si="47"/>
        <v>10</v>
      </c>
    </row>
    <row r="153" spans="1:27" ht="15" customHeight="1" x14ac:dyDescent="0.2">
      <c r="A153" s="13">
        <v>152</v>
      </c>
      <c r="B153" s="8" t="s">
        <v>125</v>
      </c>
      <c r="C153" s="14">
        <v>45721</v>
      </c>
      <c r="D153" s="13" t="s">
        <v>139</v>
      </c>
      <c r="E153" s="13" t="s">
        <v>682</v>
      </c>
      <c r="F153" s="13" t="s">
        <v>683</v>
      </c>
      <c r="G153" s="13" t="s">
        <v>684</v>
      </c>
      <c r="H153" s="13" t="s">
        <v>312</v>
      </c>
      <c r="I153" s="8" t="s">
        <v>136</v>
      </c>
      <c r="J153" s="8" t="s">
        <v>137</v>
      </c>
      <c r="K153" s="8" t="s">
        <v>686</v>
      </c>
      <c r="L153" s="8" t="s">
        <v>42</v>
      </c>
      <c r="O153" s="8" t="s">
        <v>125</v>
      </c>
      <c r="P153" s="13" t="s">
        <v>123</v>
      </c>
      <c r="Q153" s="21" t="s">
        <v>125</v>
      </c>
      <c r="R153" s="21" t="s">
        <v>126</v>
      </c>
      <c r="S153" s="21" t="s">
        <v>125</v>
      </c>
      <c r="T153" s="21" t="s">
        <v>128</v>
      </c>
      <c r="U153" s="20">
        <f t="shared" ref="U153" si="55">(Z153+1)</f>
        <v>45724</v>
      </c>
      <c r="V153" s="8" t="s">
        <v>125</v>
      </c>
      <c r="W153" s="8" t="s">
        <v>129</v>
      </c>
      <c r="X153" s="8" t="s">
        <v>127</v>
      </c>
      <c r="Y153" s="13" t="s">
        <v>696</v>
      </c>
      <c r="Z153" s="20">
        <v>45723</v>
      </c>
      <c r="AA153" s="8">
        <v>0</v>
      </c>
    </row>
    <row r="154" spans="1:27" ht="15" customHeight="1" x14ac:dyDescent="0.2">
      <c r="A154" s="13">
        <v>153</v>
      </c>
      <c r="B154" s="8">
        <v>8106</v>
      </c>
      <c r="C154" s="14">
        <v>45722</v>
      </c>
      <c r="D154" s="13" t="s">
        <v>131</v>
      </c>
      <c r="E154" s="13" t="s">
        <v>687</v>
      </c>
      <c r="F154" s="13" t="s">
        <v>688</v>
      </c>
      <c r="G154" s="13" t="s">
        <v>689</v>
      </c>
      <c r="H154" s="13" t="s">
        <v>461</v>
      </c>
      <c r="I154" s="8" t="s">
        <v>39</v>
      </c>
      <c r="J154" s="8">
        <v>1</v>
      </c>
      <c r="K154" s="8">
        <v>1.23</v>
      </c>
      <c r="L154" s="8" t="s">
        <v>34</v>
      </c>
      <c r="O154" s="8" t="s">
        <v>702</v>
      </c>
      <c r="P154" s="13" t="s">
        <v>115</v>
      </c>
      <c r="Q154" s="8" t="s">
        <v>130</v>
      </c>
      <c r="R154" s="8" t="s">
        <v>219</v>
      </c>
      <c r="S154" s="8" t="s">
        <v>129</v>
      </c>
      <c r="T154" s="8" t="s">
        <v>128</v>
      </c>
      <c r="U154" s="14">
        <v>45737</v>
      </c>
      <c r="V154" s="20">
        <v>45723</v>
      </c>
      <c r="W154" s="8" t="s">
        <v>129</v>
      </c>
      <c r="X154" s="8" t="str">
        <f t="shared" ref="X154" si="56">G154&amp;AB$1&amp;O154</f>
        <v>RUPALI RAJESH PHATAK/FSD/Exceedance/B737/25-03/16</v>
      </c>
      <c r="Y154" s="13" t="s">
        <v>697</v>
      </c>
      <c r="Z154" s="20">
        <v>45723</v>
      </c>
      <c r="AA154" s="8">
        <f t="shared" si="47"/>
        <v>14</v>
      </c>
    </row>
    <row r="155" spans="1:27" ht="15" customHeight="1" x14ac:dyDescent="0.2">
      <c r="A155" s="13">
        <v>154</v>
      </c>
      <c r="B155" s="8" t="s">
        <v>125</v>
      </c>
      <c r="C155" s="20">
        <v>45720</v>
      </c>
      <c r="D155" s="8" t="s">
        <v>256</v>
      </c>
      <c r="E155" s="8" t="s">
        <v>690</v>
      </c>
      <c r="F155" s="8" t="s">
        <v>691</v>
      </c>
      <c r="G155" s="13" t="s">
        <v>269</v>
      </c>
      <c r="H155" s="8" t="s">
        <v>433</v>
      </c>
      <c r="I155" s="8" t="s">
        <v>391</v>
      </c>
      <c r="J155" s="8" t="s">
        <v>392</v>
      </c>
      <c r="K155" s="8" t="s">
        <v>692</v>
      </c>
      <c r="L155" s="8" t="s">
        <v>42</v>
      </c>
      <c r="O155" s="8" t="s">
        <v>125</v>
      </c>
      <c r="P155" s="8" t="s">
        <v>123</v>
      </c>
      <c r="Q155" s="21" t="s">
        <v>125</v>
      </c>
      <c r="R155" s="21" t="s">
        <v>126</v>
      </c>
      <c r="S155" s="21" t="s">
        <v>125</v>
      </c>
      <c r="T155" s="21" t="s">
        <v>128</v>
      </c>
      <c r="U155" s="20">
        <f t="shared" ref="U155:U157" si="57">(Z155+1)</f>
        <v>45724</v>
      </c>
      <c r="V155" s="8" t="s">
        <v>125</v>
      </c>
      <c r="W155" s="8" t="s">
        <v>129</v>
      </c>
      <c r="X155" s="8" t="s">
        <v>127</v>
      </c>
      <c r="Y155" s="13" t="s">
        <v>698</v>
      </c>
      <c r="Z155" s="20">
        <v>45723</v>
      </c>
      <c r="AA155" s="8">
        <v>0</v>
      </c>
    </row>
    <row r="156" spans="1:27" ht="15" customHeight="1" x14ac:dyDescent="0.2">
      <c r="A156" s="13">
        <v>155</v>
      </c>
      <c r="B156" s="8" t="s">
        <v>125</v>
      </c>
      <c r="C156" s="14">
        <v>45724</v>
      </c>
      <c r="D156" s="8" t="s">
        <v>66</v>
      </c>
      <c r="E156" s="8" t="s">
        <v>44</v>
      </c>
      <c r="F156" s="8" t="s">
        <v>45</v>
      </c>
      <c r="G156" s="8" t="s">
        <v>703</v>
      </c>
      <c r="H156" s="8" t="s">
        <v>343</v>
      </c>
      <c r="I156" s="8" t="s">
        <v>27</v>
      </c>
      <c r="J156" s="8" t="s">
        <v>28</v>
      </c>
      <c r="K156" s="8" t="s">
        <v>704</v>
      </c>
      <c r="L156" s="8" t="s">
        <v>26</v>
      </c>
      <c r="O156" s="8" t="s">
        <v>705</v>
      </c>
      <c r="P156" s="8" t="s">
        <v>123</v>
      </c>
      <c r="Q156" s="21" t="s">
        <v>125</v>
      </c>
      <c r="R156" s="21" t="s">
        <v>126</v>
      </c>
      <c r="S156" s="21" t="s">
        <v>125</v>
      </c>
      <c r="T156" s="21" t="s">
        <v>128</v>
      </c>
      <c r="U156" s="20">
        <f t="shared" si="57"/>
        <v>45726</v>
      </c>
      <c r="V156" s="20">
        <v>45725</v>
      </c>
      <c r="W156" s="8" t="s">
        <v>129</v>
      </c>
      <c r="X156" s="8" t="s">
        <v>127</v>
      </c>
      <c r="Y156" s="13" t="s">
        <v>706</v>
      </c>
      <c r="Z156" s="20">
        <v>45725</v>
      </c>
      <c r="AA156" s="8">
        <v>0</v>
      </c>
    </row>
    <row r="157" spans="1:27" ht="15" customHeight="1" x14ac:dyDescent="0.2">
      <c r="A157" s="13">
        <v>156</v>
      </c>
      <c r="B157" s="8" t="s">
        <v>125</v>
      </c>
      <c r="C157" s="14">
        <v>45721</v>
      </c>
      <c r="D157" s="8" t="s">
        <v>412</v>
      </c>
      <c r="E157" s="8" t="s">
        <v>286</v>
      </c>
      <c r="F157" s="8" t="s">
        <v>146</v>
      </c>
      <c r="G157" s="8" t="s">
        <v>147</v>
      </c>
      <c r="H157" s="8" t="s">
        <v>293</v>
      </c>
      <c r="I157" s="8" t="s">
        <v>57</v>
      </c>
      <c r="J157" s="8">
        <v>30</v>
      </c>
      <c r="K157" s="8">
        <v>31.3</v>
      </c>
      <c r="L157" s="8" t="s">
        <v>271</v>
      </c>
      <c r="O157" s="8" t="s">
        <v>125</v>
      </c>
      <c r="P157" s="8" t="s">
        <v>123</v>
      </c>
      <c r="Q157" s="21" t="s">
        <v>125</v>
      </c>
      <c r="R157" s="21" t="s">
        <v>126</v>
      </c>
      <c r="S157" s="21" t="s">
        <v>125</v>
      </c>
      <c r="T157" s="21" t="s">
        <v>128</v>
      </c>
      <c r="U157" s="20">
        <f t="shared" si="57"/>
        <v>45727</v>
      </c>
      <c r="V157" s="8" t="s">
        <v>125</v>
      </c>
      <c r="W157" s="8" t="s">
        <v>129</v>
      </c>
      <c r="Y157" s="13" t="s">
        <v>717</v>
      </c>
      <c r="Z157" s="20">
        <v>45726</v>
      </c>
      <c r="AA157" s="8">
        <v>0</v>
      </c>
    </row>
    <row r="158" spans="1:27" ht="15" customHeight="1" x14ac:dyDescent="0.2">
      <c r="A158" s="13">
        <v>157</v>
      </c>
      <c r="B158" s="8">
        <v>8110</v>
      </c>
      <c r="C158" s="14">
        <v>45724</v>
      </c>
      <c r="D158" s="8" t="s">
        <v>249</v>
      </c>
      <c r="E158" s="8" t="s">
        <v>707</v>
      </c>
      <c r="F158" s="8" t="s">
        <v>708</v>
      </c>
      <c r="G158" s="8" t="s">
        <v>252</v>
      </c>
      <c r="H158" s="8" t="s">
        <v>304</v>
      </c>
      <c r="I158" s="8" t="s">
        <v>709</v>
      </c>
      <c r="J158" s="8">
        <v>10</v>
      </c>
      <c r="K158" s="8">
        <v>10.199999999999999</v>
      </c>
      <c r="L158" s="8" t="s">
        <v>36</v>
      </c>
      <c r="O158" s="8" t="s">
        <v>724</v>
      </c>
      <c r="P158" s="8" t="s">
        <v>428</v>
      </c>
      <c r="Q158" s="8" t="s">
        <v>130</v>
      </c>
      <c r="R158" s="8" t="s">
        <v>219</v>
      </c>
      <c r="S158" s="8" t="s">
        <v>129</v>
      </c>
      <c r="T158" s="8" t="s">
        <v>128</v>
      </c>
      <c r="U158" s="14">
        <v>45758</v>
      </c>
      <c r="V158" s="20">
        <v>45726</v>
      </c>
      <c r="W158" s="8" t="s">
        <v>129</v>
      </c>
      <c r="X158" s="8" t="str">
        <f t="shared" ref="X158" si="58">G158&amp;AB$1&amp;O158</f>
        <v>SAHIL TALWAR/FSD/Exceedance/B737/25-03/18</v>
      </c>
      <c r="Y158" s="22" t="s">
        <v>718</v>
      </c>
      <c r="Z158" s="20">
        <v>45726</v>
      </c>
      <c r="AA158" s="8">
        <f t="shared" si="47"/>
        <v>32</v>
      </c>
    </row>
    <row r="159" spans="1:27" ht="15" customHeight="1" x14ac:dyDescent="0.2">
      <c r="A159" s="13">
        <v>158</v>
      </c>
      <c r="B159" s="8" t="s">
        <v>125</v>
      </c>
      <c r="C159" s="14">
        <v>45724</v>
      </c>
      <c r="D159" s="8" t="s">
        <v>249</v>
      </c>
      <c r="E159" s="8" t="s">
        <v>648</v>
      </c>
      <c r="F159" s="8" t="s">
        <v>710</v>
      </c>
      <c r="G159" s="8" t="s">
        <v>619</v>
      </c>
      <c r="H159" s="8" t="s">
        <v>74</v>
      </c>
      <c r="I159" s="8" t="s">
        <v>709</v>
      </c>
      <c r="J159" s="8">
        <v>8.5</v>
      </c>
      <c r="K159" s="8">
        <v>9</v>
      </c>
      <c r="L159" s="8" t="s">
        <v>271</v>
      </c>
      <c r="O159" s="8" t="s">
        <v>125</v>
      </c>
      <c r="P159" s="8" t="s">
        <v>123</v>
      </c>
      <c r="Q159" s="21" t="s">
        <v>125</v>
      </c>
      <c r="R159" s="21" t="s">
        <v>126</v>
      </c>
      <c r="S159" s="21" t="s">
        <v>125</v>
      </c>
      <c r="T159" s="21" t="s">
        <v>128</v>
      </c>
      <c r="U159" s="20">
        <f t="shared" ref="U159:U161" si="59">(Z159+1)</f>
        <v>45727</v>
      </c>
      <c r="V159" s="8" t="s">
        <v>125</v>
      </c>
      <c r="W159" s="8" t="s">
        <v>129</v>
      </c>
      <c r="Y159" s="22" t="s">
        <v>719</v>
      </c>
      <c r="Z159" s="20">
        <v>45726</v>
      </c>
      <c r="AA159" s="8">
        <v>0</v>
      </c>
    </row>
    <row r="160" spans="1:27" ht="15" customHeight="1" x14ac:dyDescent="0.2">
      <c r="A160" s="13">
        <v>159</v>
      </c>
      <c r="B160" s="8" t="s">
        <v>125</v>
      </c>
      <c r="C160" s="14">
        <v>45724</v>
      </c>
      <c r="D160" s="8" t="s">
        <v>256</v>
      </c>
      <c r="E160" s="8" t="s">
        <v>321</v>
      </c>
      <c r="F160" s="8" t="s">
        <v>322</v>
      </c>
      <c r="G160" s="8" t="s">
        <v>361</v>
      </c>
      <c r="H160" s="8" t="s">
        <v>88</v>
      </c>
      <c r="I160" s="8" t="s">
        <v>57</v>
      </c>
      <c r="J160" s="8">
        <v>30</v>
      </c>
      <c r="K160" s="8">
        <v>31.6</v>
      </c>
      <c r="L160" s="8" t="s">
        <v>271</v>
      </c>
      <c r="O160" s="8" t="s">
        <v>125</v>
      </c>
      <c r="P160" s="8" t="s">
        <v>123</v>
      </c>
      <c r="Q160" s="21" t="s">
        <v>125</v>
      </c>
      <c r="R160" s="21" t="s">
        <v>126</v>
      </c>
      <c r="S160" s="21" t="s">
        <v>125</v>
      </c>
      <c r="T160" s="21" t="s">
        <v>128</v>
      </c>
      <c r="U160" s="20">
        <f t="shared" si="59"/>
        <v>45727</v>
      </c>
      <c r="V160" s="8" t="s">
        <v>125</v>
      </c>
      <c r="W160" s="8" t="s">
        <v>129</v>
      </c>
      <c r="Y160" s="13" t="s">
        <v>720</v>
      </c>
      <c r="Z160" s="20">
        <v>45726</v>
      </c>
      <c r="AA160" s="8">
        <v>0</v>
      </c>
    </row>
    <row r="161" spans="1:27" ht="15" customHeight="1" x14ac:dyDescent="0.2">
      <c r="A161" s="13">
        <v>160</v>
      </c>
      <c r="B161" s="8" t="s">
        <v>125</v>
      </c>
      <c r="C161" s="14">
        <v>45724</v>
      </c>
      <c r="D161" s="8" t="s">
        <v>66</v>
      </c>
      <c r="E161" s="8" t="s">
        <v>572</v>
      </c>
      <c r="F161" s="8" t="s">
        <v>573</v>
      </c>
      <c r="G161" s="8" t="s">
        <v>711</v>
      </c>
      <c r="H161" s="8" t="s">
        <v>712</v>
      </c>
      <c r="I161" s="8" t="s">
        <v>57</v>
      </c>
      <c r="J161" s="8">
        <v>30</v>
      </c>
      <c r="K161" s="8">
        <v>32.299999999999997</v>
      </c>
      <c r="L161" s="8" t="s">
        <v>271</v>
      </c>
      <c r="O161" s="8" t="s">
        <v>125</v>
      </c>
      <c r="P161" s="8" t="s">
        <v>123</v>
      </c>
      <c r="Q161" s="21" t="s">
        <v>125</v>
      </c>
      <c r="R161" s="21" t="s">
        <v>126</v>
      </c>
      <c r="S161" s="21" t="s">
        <v>125</v>
      </c>
      <c r="T161" s="21" t="s">
        <v>128</v>
      </c>
      <c r="U161" s="20">
        <f t="shared" si="59"/>
        <v>45727</v>
      </c>
      <c r="V161" s="8" t="s">
        <v>125</v>
      </c>
      <c r="W161" s="8" t="s">
        <v>129</v>
      </c>
      <c r="Y161" s="13" t="s">
        <v>721</v>
      </c>
      <c r="Z161" s="20">
        <v>45726</v>
      </c>
      <c r="AA161" s="8">
        <v>0</v>
      </c>
    </row>
    <row r="162" spans="1:27" ht="15" customHeight="1" x14ac:dyDescent="0.2">
      <c r="A162" s="13">
        <v>161</v>
      </c>
      <c r="B162" s="8">
        <v>8111</v>
      </c>
      <c r="C162" s="14">
        <v>45725</v>
      </c>
      <c r="D162" s="8" t="s">
        <v>66</v>
      </c>
      <c r="E162" s="8" t="s">
        <v>44</v>
      </c>
      <c r="F162" s="8" t="s">
        <v>45</v>
      </c>
      <c r="G162" s="8" t="s">
        <v>713</v>
      </c>
      <c r="H162" s="8" t="s">
        <v>92</v>
      </c>
      <c r="I162" s="8" t="s">
        <v>64</v>
      </c>
      <c r="J162" s="8">
        <v>3000</v>
      </c>
      <c r="K162" s="8">
        <v>3723</v>
      </c>
      <c r="L162" s="8" t="s">
        <v>26</v>
      </c>
      <c r="O162" s="8" t="s">
        <v>725</v>
      </c>
      <c r="P162" s="8" t="s">
        <v>428</v>
      </c>
      <c r="Q162" s="8" t="s">
        <v>130</v>
      </c>
      <c r="R162" s="8" t="s">
        <v>408</v>
      </c>
      <c r="S162" s="8" t="s">
        <v>912</v>
      </c>
      <c r="T162" s="8" t="s">
        <v>128</v>
      </c>
      <c r="U162" s="14">
        <v>45754</v>
      </c>
      <c r="V162" s="20">
        <v>45726</v>
      </c>
      <c r="W162" s="8" t="s">
        <v>129</v>
      </c>
      <c r="X162" s="8" t="str">
        <f t="shared" ref="X162:X163" si="60">G162&amp;AB$1&amp;O162</f>
        <v>BIHAAG BRAHMBHATT/FSD/Exceedance/B737/25-03/19</v>
      </c>
      <c r="Y162" s="22" t="s">
        <v>722</v>
      </c>
      <c r="Z162" s="20">
        <v>45726</v>
      </c>
      <c r="AA162" s="8">
        <f t="shared" si="47"/>
        <v>28</v>
      </c>
    </row>
    <row r="163" spans="1:27" ht="15" customHeight="1" x14ac:dyDescent="0.2">
      <c r="A163" s="13">
        <v>162</v>
      </c>
      <c r="B163" s="8">
        <v>8112</v>
      </c>
      <c r="C163" s="14">
        <v>45725</v>
      </c>
      <c r="D163" s="8" t="s">
        <v>131</v>
      </c>
      <c r="E163" s="8" t="s">
        <v>145</v>
      </c>
      <c r="F163" s="8" t="s">
        <v>146</v>
      </c>
      <c r="G163" s="8" t="s">
        <v>714</v>
      </c>
      <c r="H163" s="8" t="s">
        <v>507</v>
      </c>
      <c r="I163" s="8" t="s">
        <v>715</v>
      </c>
      <c r="J163" s="8">
        <v>950</v>
      </c>
      <c r="K163" s="8">
        <v>966</v>
      </c>
      <c r="L163" s="8" t="s">
        <v>716</v>
      </c>
      <c r="O163" s="8" t="s">
        <v>726</v>
      </c>
      <c r="P163" s="8" t="s">
        <v>203</v>
      </c>
      <c r="Q163" s="8" t="s">
        <v>126</v>
      </c>
      <c r="R163" s="8" t="s">
        <v>219</v>
      </c>
      <c r="S163" s="8" t="s">
        <v>129</v>
      </c>
      <c r="T163" s="8" t="s">
        <v>1199</v>
      </c>
      <c r="U163" s="14">
        <v>45776</v>
      </c>
      <c r="V163" s="20">
        <v>45726</v>
      </c>
      <c r="W163" s="8" t="s">
        <v>129</v>
      </c>
      <c r="X163" s="8" t="str">
        <f t="shared" si="60"/>
        <v>NILESH KUMAR NONHARE/FSD/Exceedance/B737/25-03/20</v>
      </c>
      <c r="Y163" s="13" t="s">
        <v>723</v>
      </c>
      <c r="Z163" s="20">
        <v>45726</v>
      </c>
    </row>
    <row r="164" spans="1:27" ht="15" customHeight="1" x14ac:dyDescent="0.2">
      <c r="A164" s="13">
        <v>163</v>
      </c>
      <c r="B164" s="8" t="s">
        <v>125</v>
      </c>
      <c r="C164" s="20">
        <v>45726</v>
      </c>
      <c r="D164" s="8" t="s">
        <v>131</v>
      </c>
      <c r="E164" s="8" t="s">
        <v>145</v>
      </c>
      <c r="F164" s="8" t="s">
        <v>146</v>
      </c>
      <c r="G164" s="13" t="s">
        <v>727</v>
      </c>
      <c r="H164" s="8" t="s">
        <v>485</v>
      </c>
      <c r="I164" s="8" t="s">
        <v>57</v>
      </c>
      <c r="J164" s="8">
        <v>30</v>
      </c>
      <c r="K164" s="8">
        <v>32</v>
      </c>
      <c r="L164" s="8" t="s">
        <v>36</v>
      </c>
      <c r="O164" s="8" t="s">
        <v>125</v>
      </c>
      <c r="P164" s="8" t="s">
        <v>123</v>
      </c>
      <c r="Q164" s="21" t="s">
        <v>125</v>
      </c>
      <c r="R164" s="21" t="s">
        <v>126</v>
      </c>
      <c r="S164" s="21" t="s">
        <v>125</v>
      </c>
      <c r="T164" s="21" t="s">
        <v>128</v>
      </c>
      <c r="U164" s="20">
        <f t="shared" ref="U164:U168" si="61">(Z164+1)</f>
        <v>45728</v>
      </c>
      <c r="V164" s="8" t="s">
        <v>125</v>
      </c>
      <c r="W164" s="8" t="s">
        <v>129</v>
      </c>
      <c r="X164" s="8" t="s">
        <v>127</v>
      </c>
      <c r="Y164" s="13" t="s">
        <v>728</v>
      </c>
      <c r="Z164" s="20">
        <v>45727</v>
      </c>
      <c r="AA164" s="8">
        <v>0</v>
      </c>
    </row>
    <row r="165" spans="1:27" ht="15" customHeight="1" x14ac:dyDescent="0.2">
      <c r="A165" s="8">
        <v>164</v>
      </c>
      <c r="B165" s="8" t="s">
        <v>125</v>
      </c>
      <c r="C165" s="14">
        <v>45727</v>
      </c>
      <c r="D165" s="8" t="s">
        <v>139</v>
      </c>
      <c r="E165" s="8" t="s">
        <v>145</v>
      </c>
      <c r="F165" s="8" t="s">
        <v>146</v>
      </c>
      <c r="G165" s="13" t="s">
        <v>252</v>
      </c>
      <c r="H165" s="13" t="s">
        <v>729</v>
      </c>
      <c r="I165" s="8" t="s">
        <v>27</v>
      </c>
      <c r="J165" s="8" t="s">
        <v>28</v>
      </c>
      <c r="K165" s="8" t="s">
        <v>731</v>
      </c>
      <c r="L165" s="8" t="s">
        <v>26</v>
      </c>
      <c r="O165" s="8" t="s">
        <v>732</v>
      </c>
      <c r="P165" s="8" t="s">
        <v>123</v>
      </c>
      <c r="Q165" s="8" t="s">
        <v>125</v>
      </c>
      <c r="R165" s="8" t="s">
        <v>126</v>
      </c>
      <c r="S165" s="8" t="s">
        <v>125</v>
      </c>
      <c r="T165" s="21" t="s">
        <v>128</v>
      </c>
      <c r="U165" s="20">
        <f t="shared" si="61"/>
        <v>45729</v>
      </c>
      <c r="V165" s="8" t="s">
        <v>125</v>
      </c>
      <c r="W165" s="8" t="s">
        <v>129</v>
      </c>
      <c r="X165" s="8" t="s">
        <v>127</v>
      </c>
      <c r="Y165" s="13" t="s">
        <v>730</v>
      </c>
      <c r="Z165" s="20">
        <v>45728</v>
      </c>
      <c r="AA165" s="8">
        <v>0</v>
      </c>
    </row>
    <row r="166" spans="1:27" ht="15" customHeight="1" x14ac:dyDescent="0.2">
      <c r="A166" s="13">
        <v>165</v>
      </c>
      <c r="B166" s="8" t="s">
        <v>125</v>
      </c>
      <c r="C166" s="20">
        <v>45727</v>
      </c>
      <c r="D166" s="8" t="s">
        <v>40</v>
      </c>
      <c r="E166" s="8" t="s">
        <v>213</v>
      </c>
      <c r="F166" s="8" t="s">
        <v>214</v>
      </c>
      <c r="G166" s="13" t="s">
        <v>215</v>
      </c>
      <c r="H166" s="13" t="s">
        <v>389</v>
      </c>
      <c r="I166" s="8" t="s">
        <v>57</v>
      </c>
      <c r="J166" s="8">
        <v>30</v>
      </c>
      <c r="K166" s="8">
        <v>31.5</v>
      </c>
      <c r="L166" s="8" t="s">
        <v>36</v>
      </c>
      <c r="O166" s="8" t="s">
        <v>125</v>
      </c>
      <c r="P166" s="8" t="s">
        <v>123</v>
      </c>
      <c r="Q166" s="21" t="s">
        <v>125</v>
      </c>
      <c r="R166" s="21" t="s">
        <v>126</v>
      </c>
      <c r="S166" s="21" t="s">
        <v>125</v>
      </c>
      <c r="T166" s="21" t="s">
        <v>128</v>
      </c>
      <c r="U166" s="20">
        <f t="shared" si="61"/>
        <v>45729</v>
      </c>
      <c r="V166" s="8" t="s">
        <v>125</v>
      </c>
      <c r="W166" s="8" t="s">
        <v>129</v>
      </c>
      <c r="X166" s="8" t="s">
        <v>127</v>
      </c>
      <c r="Y166" s="13" t="s">
        <v>733</v>
      </c>
      <c r="Z166" s="20">
        <v>45728</v>
      </c>
      <c r="AA166" s="8">
        <v>0</v>
      </c>
    </row>
    <row r="167" spans="1:27" ht="15" customHeight="1" x14ac:dyDescent="0.2">
      <c r="A167" s="13">
        <v>166</v>
      </c>
      <c r="B167" s="8" t="s">
        <v>125</v>
      </c>
      <c r="C167" s="20">
        <v>45722</v>
      </c>
      <c r="D167" s="8" t="s">
        <v>48</v>
      </c>
      <c r="E167" s="8" t="s">
        <v>145</v>
      </c>
      <c r="F167" s="8" t="s">
        <v>734</v>
      </c>
      <c r="G167" s="13" t="s">
        <v>735</v>
      </c>
      <c r="H167" s="8" t="s">
        <v>736</v>
      </c>
      <c r="I167" s="8" t="s">
        <v>391</v>
      </c>
      <c r="J167" s="8" t="s">
        <v>392</v>
      </c>
      <c r="K167" s="8" t="s">
        <v>737</v>
      </c>
      <c r="L167" s="8" t="s">
        <v>42</v>
      </c>
      <c r="O167" s="8" t="s">
        <v>125</v>
      </c>
      <c r="P167" s="8" t="s">
        <v>123</v>
      </c>
      <c r="Q167" s="21" t="s">
        <v>125</v>
      </c>
      <c r="R167" s="21" t="s">
        <v>126</v>
      </c>
      <c r="S167" s="21" t="s">
        <v>125</v>
      </c>
      <c r="T167" s="21" t="s">
        <v>128</v>
      </c>
      <c r="U167" s="20">
        <f t="shared" si="61"/>
        <v>45730</v>
      </c>
      <c r="V167" s="8" t="s">
        <v>125</v>
      </c>
      <c r="W167" s="8" t="s">
        <v>129</v>
      </c>
      <c r="Y167" s="13" t="s">
        <v>739</v>
      </c>
      <c r="Z167" s="20">
        <v>45729</v>
      </c>
      <c r="AA167" s="8">
        <v>0</v>
      </c>
    </row>
    <row r="168" spans="1:27" ht="15" customHeight="1" x14ac:dyDescent="0.2">
      <c r="A168" s="13">
        <v>167</v>
      </c>
      <c r="B168" s="8" t="s">
        <v>125</v>
      </c>
      <c r="C168" s="20">
        <v>45728</v>
      </c>
      <c r="D168" s="8" t="s">
        <v>30</v>
      </c>
      <c r="E168" s="8" t="s">
        <v>119</v>
      </c>
      <c r="F168" s="8" t="s">
        <v>120</v>
      </c>
      <c r="G168" s="8" t="s">
        <v>342</v>
      </c>
      <c r="H168" s="8" t="s">
        <v>738</v>
      </c>
      <c r="I168" s="8" t="s">
        <v>620</v>
      </c>
      <c r="J168" s="8">
        <v>0.81499999999999995</v>
      </c>
      <c r="K168" s="8">
        <v>0.81699999999999995</v>
      </c>
      <c r="L168" s="8" t="s">
        <v>621</v>
      </c>
      <c r="O168" s="8" t="s">
        <v>125</v>
      </c>
      <c r="P168" s="8" t="s">
        <v>123</v>
      </c>
      <c r="Q168" s="21" t="s">
        <v>125</v>
      </c>
      <c r="R168" s="21" t="s">
        <v>126</v>
      </c>
      <c r="S168" s="21" t="s">
        <v>125</v>
      </c>
      <c r="T168" s="21" t="s">
        <v>128</v>
      </c>
      <c r="U168" s="20">
        <f t="shared" si="61"/>
        <v>45730</v>
      </c>
      <c r="V168" s="8" t="s">
        <v>125</v>
      </c>
      <c r="W168" s="8" t="s">
        <v>129</v>
      </c>
      <c r="X168" s="8" t="s">
        <v>127</v>
      </c>
      <c r="Y168" s="13" t="s">
        <v>740</v>
      </c>
      <c r="Z168" s="20">
        <v>45729</v>
      </c>
      <c r="AA168" s="8">
        <v>0</v>
      </c>
    </row>
    <row r="169" spans="1:27" ht="15" customHeight="1" x14ac:dyDescent="0.2">
      <c r="A169" s="13">
        <v>168</v>
      </c>
      <c r="B169" s="8">
        <v>8120</v>
      </c>
      <c r="C169" s="14">
        <v>45729</v>
      </c>
      <c r="D169" s="8" t="s">
        <v>54</v>
      </c>
      <c r="E169" s="8" t="s">
        <v>474</v>
      </c>
      <c r="F169" s="8" t="s">
        <v>592</v>
      </c>
      <c r="G169" s="8" t="s">
        <v>134</v>
      </c>
      <c r="H169" s="8" t="s">
        <v>184</v>
      </c>
      <c r="I169" s="8" t="s">
        <v>38</v>
      </c>
      <c r="K169" s="8">
        <v>169</v>
      </c>
      <c r="L169" s="8" t="s">
        <v>26</v>
      </c>
      <c r="O169" s="8" t="s">
        <v>743</v>
      </c>
      <c r="P169" s="13" t="s">
        <v>115</v>
      </c>
      <c r="Q169" s="8" t="s">
        <v>130</v>
      </c>
      <c r="R169" s="8" t="s">
        <v>408</v>
      </c>
      <c r="S169" s="8" t="s">
        <v>129</v>
      </c>
      <c r="T169" s="8" t="s">
        <v>128</v>
      </c>
      <c r="U169" s="20">
        <v>45736</v>
      </c>
      <c r="V169" s="20">
        <v>45730</v>
      </c>
      <c r="W169" s="8" t="s">
        <v>129</v>
      </c>
      <c r="X169" s="8" t="str">
        <f t="shared" ref="X169:X178" si="62">G169&amp;AB$1&amp;O169</f>
        <v>DARSHAN DALAL/FSD/Exceedance/B737/25-03/22</v>
      </c>
      <c r="Y169" s="13" t="s">
        <v>744</v>
      </c>
      <c r="Z169" s="20">
        <v>45730</v>
      </c>
      <c r="AA169" s="8">
        <f t="shared" si="47"/>
        <v>6</v>
      </c>
    </row>
    <row r="170" spans="1:27" ht="15" customHeight="1" x14ac:dyDescent="0.2">
      <c r="A170" s="13">
        <v>169</v>
      </c>
      <c r="B170" s="8">
        <v>8120</v>
      </c>
      <c r="C170" s="14">
        <v>45729</v>
      </c>
      <c r="D170" s="8" t="s">
        <v>54</v>
      </c>
      <c r="E170" s="8" t="s">
        <v>474</v>
      </c>
      <c r="F170" s="8" t="s">
        <v>592</v>
      </c>
      <c r="G170" s="8" t="s">
        <v>134</v>
      </c>
      <c r="H170" s="8" t="s">
        <v>184</v>
      </c>
      <c r="I170" s="8" t="s">
        <v>39</v>
      </c>
      <c r="J170" s="8">
        <v>1</v>
      </c>
      <c r="K170" s="8">
        <v>1.5</v>
      </c>
      <c r="L170" s="8" t="s">
        <v>34</v>
      </c>
      <c r="O170" s="8" t="s">
        <v>743</v>
      </c>
      <c r="P170" s="13" t="s">
        <v>115</v>
      </c>
      <c r="Q170" s="8" t="s">
        <v>130</v>
      </c>
      <c r="R170" s="8" t="s">
        <v>408</v>
      </c>
      <c r="S170" s="8" t="s">
        <v>129</v>
      </c>
      <c r="T170" s="8" t="s">
        <v>128</v>
      </c>
      <c r="U170" s="20">
        <v>45736</v>
      </c>
      <c r="V170" s="20">
        <v>45730</v>
      </c>
      <c r="W170" s="8" t="s">
        <v>129</v>
      </c>
      <c r="X170" s="8" t="str">
        <f t="shared" si="62"/>
        <v>DARSHAN DALAL/FSD/Exceedance/B737/25-03/22</v>
      </c>
      <c r="Y170" s="13" t="s">
        <v>745</v>
      </c>
      <c r="Z170" s="20">
        <v>45730</v>
      </c>
      <c r="AA170" s="8">
        <f t="shared" si="47"/>
        <v>6</v>
      </c>
    </row>
    <row r="171" spans="1:27" ht="15" customHeight="1" x14ac:dyDescent="0.2">
      <c r="A171" s="13">
        <v>170</v>
      </c>
      <c r="B171" s="8" t="s">
        <v>125</v>
      </c>
      <c r="C171" s="14">
        <v>45728</v>
      </c>
      <c r="D171" s="8" t="s">
        <v>131</v>
      </c>
      <c r="E171" s="8" t="s">
        <v>682</v>
      </c>
      <c r="F171" s="8" t="s">
        <v>683</v>
      </c>
      <c r="G171" s="8" t="s">
        <v>448</v>
      </c>
      <c r="H171" s="8" t="s">
        <v>741</v>
      </c>
      <c r="I171" s="8" t="s">
        <v>391</v>
      </c>
      <c r="J171" s="8" t="s">
        <v>392</v>
      </c>
      <c r="K171" s="8" t="s">
        <v>742</v>
      </c>
      <c r="L171" s="8" t="s">
        <v>42</v>
      </c>
      <c r="O171" s="8" t="s">
        <v>125</v>
      </c>
      <c r="P171" s="13" t="s">
        <v>123</v>
      </c>
      <c r="Q171" s="21" t="s">
        <v>125</v>
      </c>
      <c r="R171" s="21" t="s">
        <v>126</v>
      </c>
      <c r="S171" s="21" t="s">
        <v>125</v>
      </c>
      <c r="T171" s="21" t="s">
        <v>128</v>
      </c>
      <c r="U171" s="20">
        <f t="shared" ref="U171" si="63">(Z171+1)</f>
        <v>45731</v>
      </c>
      <c r="V171" s="8" t="s">
        <v>125</v>
      </c>
      <c r="W171" s="8" t="s">
        <v>129</v>
      </c>
      <c r="X171" s="8" t="s">
        <v>127</v>
      </c>
      <c r="Y171" s="13" t="s">
        <v>746</v>
      </c>
      <c r="Z171" s="20">
        <v>45730</v>
      </c>
      <c r="AA171" s="8">
        <v>0</v>
      </c>
    </row>
    <row r="172" spans="1:27" ht="15" customHeight="1" x14ac:dyDescent="0.2">
      <c r="A172" s="13">
        <v>171</v>
      </c>
      <c r="B172" s="8">
        <v>8124</v>
      </c>
      <c r="C172" s="14">
        <v>45730</v>
      </c>
      <c r="D172" s="8" t="s">
        <v>191</v>
      </c>
      <c r="E172" s="8" t="s">
        <v>62</v>
      </c>
      <c r="F172" s="8" t="s">
        <v>747</v>
      </c>
      <c r="G172" s="8" t="s">
        <v>361</v>
      </c>
      <c r="H172" s="8" t="s">
        <v>195</v>
      </c>
      <c r="I172" s="8" t="s">
        <v>403</v>
      </c>
      <c r="J172" s="8">
        <v>10</v>
      </c>
      <c r="K172" s="8">
        <v>11</v>
      </c>
      <c r="L172" s="8" t="s">
        <v>404</v>
      </c>
      <c r="O172" s="8" t="s">
        <v>752</v>
      </c>
      <c r="P172" s="13" t="s">
        <v>115</v>
      </c>
      <c r="Q172" s="8" t="s">
        <v>130</v>
      </c>
      <c r="R172" s="8" t="s">
        <v>408</v>
      </c>
      <c r="S172" s="8" t="s">
        <v>129</v>
      </c>
      <c r="T172" s="8" t="s">
        <v>128</v>
      </c>
      <c r="U172" s="20">
        <v>45736</v>
      </c>
      <c r="V172" s="20">
        <v>45731</v>
      </c>
      <c r="W172" s="8" t="s">
        <v>129</v>
      </c>
      <c r="X172" s="8" t="str">
        <f t="shared" si="62"/>
        <v>SNEHA SHEKHAWAT/FSD/Exceedance/B737/25-03/23</v>
      </c>
      <c r="Y172" s="13" t="s">
        <v>755</v>
      </c>
      <c r="Z172" s="20">
        <v>45731</v>
      </c>
      <c r="AA172" s="8">
        <f t="shared" si="47"/>
        <v>5</v>
      </c>
    </row>
    <row r="173" spans="1:27" ht="15" customHeight="1" x14ac:dyDescent="0.2">
      <c r="A173" s="13">
        <v>172</v>
      </c>
      <c r="B173" s="8" t="s">
        <v>125</v>
      </c>
      <c r="C173" s="14">
        <v>45730</v>
      </c>
      <c r="D173" s="8" t="s">
        <v>168</v>
      </c>
      <c r="E173" s="8" t="s">
        <v>377</v>
      </c>
      <c r="F173" s="8" t="s">
        <v>299</v>
      </c>
      <c r="G173" s="8" t="s">
        <v>374</v>
      </c>
      <c r="H173" s="8" t="s">
        <v>288</v>
      </c>
      <c r="I173" s="8" t="s">
        <v>27</v>
      </c>
      <c r="J173" s="8" t="s">
        <v>28</v>
      </c>
      <c r="K173" s="8" t="s">
        <v>748</v>
      </c>
      <c r="L173" s="8" t="s">
        <v>26</v>
      </c>
      <c r="O173" s="8" t="s">
        <v>753</v>
      </c>
      <c r="P173" s="8" t="s">
        <v>157</v>
      </c>
      <c r="Q173" s="21" t="s">
        <v>125</v>
      </c>
      <c r="R173" s="21" t="s">
        <v>126</v>
      </c>
      <c r="S173" s="21" t="s">
        <v>125</v>
      </c>
      <c r="T173" s="21" t="s">
        <v>128</v>
      </c>
      <c r="U173" s="20">
        <f t="shared" ref="U173" si="64">(Z173+1)</f>
        <v>45732</v>
      </c>
      <c r="V173" s="20">
        <v>45731</v>
      </c>
      <c r="W173" s="8" t="s">
        <v>129</v>
      </c>
      <c r="X173" s="8" t="str">
        <f t="shared" si="62"/>
        <v>HIMANI SAREEN/FSD/Exceedance/B737/25-03/24</v>
      </c>
      <c r="Y173" s="13" t="s">
        <v>756</v>
      </c>
      <c r="Z173" s="20">
        <v>45731</v>
      </c>
      <c r="AA173" s="8">
        <v>0</v>
      </c>
    </row>
    <row r="174" spans="1:27" ht="15" customHeight="1" x14ac:dyDescent="0.2">
      <c r="A174" s="13">
        <v>173</v>
      </c>
      <c r="B174" s="8">
        <v>8125</v>
      </c>
      <c r="C174" s="14">
        <v>45730</v>
      </c>
      <c r="D174" s="8" t="s">
        <v>168</v>
      </c>
      <c r="E174" s="8" t="s">
        <v>377</v>
      </c>
      <c r="F174" s="8" t="s">
        <v>299</v>
      </c>
      <c r="G174" s="8" t="s">
        <v>374</v>
      </c>
      <c r="H174" s="8" t="s">
        <v>288</v>
      </c>
      <c r="I174" s="8" t="s">
        <v>38</v>
      </c>
      <c r="K174" s="8">
        <v>209</v>
      </c>
      <c r="L174" s="8" t="s">
        <v>26</v>
      </c>
      <c r="O174" s="8" t="s">
        <v>753</v>
      </c>
      <c r="P174" s="8" t="s">
        <v>428</v>
      </c>
      <c r="Q174" s="8" t="s">
        <v>126</v>
      </c>
      <c r="R174" s="8" t="s">
        <v>408</v>
      </c>
      <c r="S174" s="8" t="s">
        <v>129</v>
      </c>
      <c r="T174" s="8" t="s">
        <v>128</v>
      </c>
      <c r="U174" s="20">
        <v>45748</v>
      </c>
      <c r="V174" s="20">
        <v>45731</v>
      </c>
      <c r="W174" s="8" t="s">
        <v>129</v>
      </c>
      <c r="X174" s="8" t="str">
        <f t="shared" si="62"/>
        <v>HIMANI SAREEN/FSD/Exceedance/B737/25-03/24</v>
      </c>
      <c r="Y174" s="13" t="s">
        <v>757</v>
      </c>
      <c r="Z174" s="20">
        <v>45731</v>
      </c>
      <c r="AA174" s="8">
        <f t="shared" si="47"/>
        <v>17</v>
      </c>
    </row>
    <row r="175" spans="1:27" ht="15" customHeight="1" x14ac:dyDescent="0.2">
      <c r="A175" s="13">
        <v>174</v>
      </c>
      <c r="B175" s="8">
        <v>8125</v>
      </c>
      <c r="C175" s="14">
        <v>45730</v>
      </c>
      <c r="D175" s="8" t="s">
        <v>168</v>
      </c>
      <c r="E175" s="8" t="s">
        <v>377</v>
      </c>
      <c r="F175" s="8" t="s">
        <v>299</v>
      </c>
      <c r="G175" s="8" t="s">
        <v>374</v>
      </c>
      <c r="H175" s="8" t="s">
        <v>288</v>
      </c>
      <c r="I175" s="8" t="s">
        <v>749</v>
      </c>
      <c r="J175" s="8">
        <v>1</v>
      </c>
      <c r="K175" s="8">
        <v>2.37</v>
      </c>
      <c r="L175" s="8" t="s">
        <v>34</v>
      </c>
      <c r="O175" s="8" t="s">
        <v>753</v>
      </c>
      <c r="P175" s="8" t="s">
        <v>428</v>
      </c>
      <c r="Q175" s="8" t="s">
        <v>126</v>
      </c>
      <c r="R175" s="8" t="s">
        <v>408</v>
      </c>
      <c r="S175" s="8" t="s">
        <v>129</v>
      </c>
      <c r="T175" s="8" t="s">
        <v>128</v>
      </c>
      <c r="U175" s="20">
        <v>45748</v>
      </c>
      <c r="V175" s="20">
        <v>45731</v>
      </c>
      <c r="W175" s="8" t="s">
        <v>129</v>
      </c>
      <c r="X175" s="8" t="str">
        <f t="shared" si="62"/>
        <v>HIMANI SAREEN/FSD/Exceedance/B737/25-03/24</v>
      </c>
      <c r="Y175" s="13" t="s">
        <v>758</v>
      </c>
      <c r="Z175" s="20">
        <v>45731</v>
      </c>
      <c r="AA175" s="8">
        <f t="shared" si="47"/>
        <v>17</v>
      </c>
    </row>
    <row r="176" spans="1:27" ht="15" customHeight="1" x14ac:dyDescent="0.2">
      <c r="A176" s="13">
        <v>175</v>
      </c>
      <c r="B176" s="8">
        <v>8125</v>
      </c>
      <c r="C176" s="14">
        <v>45730</v>
      </c>
      <c r="D176" s="8" t="s">
        <v>168</v>
      </c>
      <c r="E176" s="8" t="s">
        <v>377</v>
      </c>
      <c r="F176" s="8" t="s">
        <v>299</v>
      </c>
      <c r="G176" s="8" t="s">
        <v>374</v>
      </c>
      <c r="H176" s="8" t="s">
        <v>288</v>
      </c>
      <c r="I176" s="8" t="s">
        <v>750</v>
      </c>
      <c r="K176" s="8">
        <v>220</v>
      </c>
      <c r="L176" s="8" t="s">
        <v>26</v>
      </c>
      <c r="O176" s="8" t="s">
        <v>753</v>
      </c>
      <c r="P176" s="8" t="s">
        <v>203</v>
      </c>
      <c r="Q176" s="8" t="s">
        <v>126</v>
      </c>
      <c r="R176" s="8" t="s">
        <v>408</v>
      </c>
      <c r="S176" s="8" t="s">
        <v>129</v>
      </c>
      <c r="T176" s="8" t="s">
        <v>128</v>
      </c>
      <c r="U176" s="20">
        <v>45748</v>
      </c>
      <c r="V176" s="20">
        <v>45731</v>
      </c>
      <c r="W176" s="8" t="s">
        <v>129</v>
      </c>
      <c r="X176" s="8" t="str">
        <f t="shared" si="62"/>
        <v>HIMANI SAREEN/FSD/Exceedance/B737/25-03/24</v>
      </c>
      <c r="Y176" s="13" t="s">
        <v>759</v>
      </c>
      <c r="Z176" s="20">
        <v>45731</v>
      </c>
      <c r="AA176" s="8">
        <f t="shared" si="47"/>
        <v>17</v>
      </c>
    </row>
    <row r="177" spans="1:27" ht="15" customHeight="1" x14ac:dyDescent="0.2">
      <c r="A177" s="13">
        <v>176</v>
      </c>
      <c r="B177" s="8">
        <v>8126</v>
      </c>
      <c r="C177" s="14">
        <v>45730</v>
      </c>
      <c r="D177" s="8" t="s">
        <v>168</v>
      </c>
      <c r="E177" s="8" t="s">
        <v>314</v>
      </c>
      <c r="F177" s="8" t="s">
        <v>315</v>
      </c>
      <c r="G177" s="8" t="s">
        <v>485</v>
      </c>
      <c r="H177" s="8" t="s">
        <v>751</v>
      </c>
      <c r="I177" s="8" t="s">
        <v>38</v>
      </c>
      <c r="K177" s="8">
        <v>72</v>
      </c>
      <c r="L177" s="8" t="s">
        <v>26</v>
      </c>
      <c r="O177" s="8" t="s">
        <v>754</v>
      </c>
      <c r="P177" s="8" t="s">
        <v>203</v>
      </c>
      <c r="Q177" s="8" t="s">
        <v>126</v>
      </c>
      <c r="R177" s="8" t="s">
        <v>408</v>
      </c>
      <c r="S177" s="8" t="s">
        <v>129</v>
      </c>
      <c r="T177" s="8" t="s">
        <v>1199</v>
      </c>
      <c r="U177" s="14">
        <v>45761</v>
      </c>
      <c r="V177" s="20">
        <v>45731</v>
      </c>
      <c r="W177" s="8" t="s">
        <v>129</v>
      </c>
      <c r="X177" s="8" t="str">
        <f t="shared" si="62"/>
        <v>MOHIT KUMAR/FSD/Exceedance/B737/25-03/25</v>
      </c>
      <c r="Y177" s="13" t="s">
        <v>760</v>
      </c>
      <c r="Z177" s="20">
        <v>45731</v>
      </c>
    </row>
    <row r="178" spans="1:27" ht="15" customHeight="1" x14ac:dyDescent="0.2">
      <c r="A178" s="13">
        <v>177</v>
      </c>
      <c r="B178" s="8">
        <v>8126</v>
      </c>
      <c r="C178" s="12">
        <v>45730</v>
      </c>
      <c r="D178" s="13" t="s">
        <v>168</v>
      </c>
      <c r="E178" s="13" t="s">
        <v>314</v>
      </c>
      <c r="F178" s="13" t="s">
        <v>315</v>
      </c>
      <c r="G178" s="13" t="s">
        <v>485</v>
      </c>
      <c r="H178" s="8" t="s">
        <v>751</v>
      </c>
      <c r="I178" s="13" t="s">
        <v>53</v>
      </c>
      <c r="J178" s="13">
        <v>300</v>
      </c>
      <c r="K178" s="13">
        <v>180</v>
      </c>
      <c r="L178" s="13" t="s">
        <v>25</v>
      </c>
      <c r="O178" s="8" t="s">
        <v>754</v>
      </c>
      <c r="P178" s="8" t="s">
        <v>203</v>
      </c>
      <c r="Q178" s="8" t="s">
        <v>126</v>
      </c>
      <c r="R178" s="8" t="s">
        <v>408</v>
      </c>
      <c r="S178" s="8" t="s">
        <v>129</v>
      </c>
      <c r="T178" s="8" t="s">
        <v>1199</v>
      </c>
      <c r="U178" s="14">
        <v>45761</v>
      </c>
      <c r="V178" s="20">
        <v>45731</v>
      </c>
      <c r="W178" s="8" t="s">
        <v>129</v>
      </c>
      <c r="X178" s="8" t="str">
        <f t="shared" si="62"/>
        <v>MOHIT KUMAR/FSD/Exceedance/B737/25-03/25</v>
      </c>
      <c r="Y178" s="13" t="s">
        <v>761</v>
      </c>
      <c r="Z178" s="20">
        <v>45731</v>
      </c>
    </row>
    <row r="179" spans="1:27" ht="15" customHeight="1" x14ac:dyDescent="0.2">
      <c r="A179" s="13">
        <v>178</v>
      </c>
      <c r="B179" s="8" t="s">
        <v>125</v>
      </c>
      <c r="C179" s="14">
        <v>45731</v>
      </c>
      <c r="D179" s="8" t="s">
        <v>168</v>
      </c>
      <c r="E179" s="8" t="s">
        <v>762</v>
      </c>
      <c r="F179" s="8" t="s">
        <v>460</v>
      </c>
      <c r="G179" s="8" t="s">
        <v>763</v>
      </c>
      <c r="H179" s="8" t="s">
        <v>764</v>
      </c>
      <c r="I179" s="8" t="s">
        <v>196</v>
      </c>
      <c r="J179" s="8">
        <v>4</v>
      </c>
      <c r="K179" s="8">
        <v>4.4000000000000004</v>
      </c>
      <c r="L179" s="8" t="s">
        <v>197</v>
      </c>
      <c r="O179" s="8" t="s">
        <v>125</v>
      </c>
      <c r="P179" s="13" t="s">
        <v>123</v>
      </c>
      <c r="Q179" s="21" t="s">
        <v>125</v>
      </c>
      <c r="R179" s="21" t="s">
        <v>126</v>
      </c>
      <c r="S179" s="21" t="s">
        <v>125</v>
      </c>
      <c r="T179" s="21" t="s">
        <v>128</v>
      </c>
      <c r="U179" s="20">
        <f t="shared" ref="U179:U185" si="65">(Z179+1)</f>
        <v>45733</v>
      </c>
      <c r="V179" s="20" t="s">
        <v>125</v>
      </c>
      <c r="W179" s="8" t="s">
        <v>129</v>
      </c>
      <c r="X179" s="8" t="s">
        <v>127</v>
      </c>
      <c r="Y179" s="13" t="s">
        <v>765</v>
      </c>
      <c r="Z179" s="20">
        <v>45732</v>
      </c>
      <c r="AA179" s="8">
        <v>0</v>
      </c>
    </row>
    <row r="180" spans="1:27" ht="15" customHeight="1" x14ac:dyDescent="0.2">
      <c r="A180" s="13">
        <v>179</v>
      </c>
      <c r="B180" s="8" t="s">
        <v>125</v>
      </c>
      <c r="C180" s="14">
        <v>45728</v>
      </c>
      <c r="D180" s="8" t="s">
        <v>66</v>
      </c>
      <c r="E180" s="8" t="s">
        <v>548</v>
      </c>
      <c r="F180" s="8" t="s">
        <v>766</v>
      </c>
      <c r="G180" s="8" t="s">
        <v>496</v>
      </c>
      <c r="H180" s="8" t="s">
        <v>316</v>
      </c>
      <c r="I180" s="8" t="s">
        <v>57</v>
      </c>
      <c r="J180" s="8">
        <v>30</v>
      </c>
      <c r="K180" s="8">
        <v>31.1</v>
      </c>
      <c r="L180" s="8" t="s">
        <v>36</v>
      </c>
      <c r="O180" s="8" t="s">
        <v>125</v>
      </c>
      <c r="P180" s="13" t="s">
        <v>123</v>
      </c>
      <c r="Q180" s="21" t="s">
        <v>125</v>
      </c>
      <c r="R180" s="21" t="s">
        <v>126</v>
      </c>
      <c r="S180" s="21" t="s">
        <v>125</v>
      </c>
      <c r="T180" s="21" t="s">
        <v>128</v>
      </c>
      <c r="U180" s="20">
        <f t="shared" si="65"/>
        <v>45734</v>
      </c>
      <c r="V180" s="8" t="s">
        <v>125</v>
      </c>
      <c r="W180" s="8" t="s">
        <v>129</v>
      </c>
      <c r="X180" s="8" t="s">
        <v>127</v>
      </c>
      <c r="Y180" s="13" t="s">
        <v>771</v>
      </c>
      <c r="Z180" s="20">
        <v>45733</v>
      </c>
      <c r="AA180" s="8">
        <v>0</v>
      </c>
    </row>
    <row r="181" spans="1:27" ht="15" customHeight="1" x14ac:dyDescent="0.2">
      <c r="A181" s="13">
        <v>180</v>
      </c>
      <c r="B181" s="8" t="s">
        <v>125</v>
      </c>
      <c r="C181" s="14">
        <v>45728</v>
      </c>
      <c r="D181" s="8" t="s">
        <v>412</v>
      </c>
      <c r="E181" s="8" t="s">
        <v>384</v>
      </c>
      <c r="F181" s="8" t="s">
        <v>385</v>
      </c>
      <c r="G181" s="8" t="s">
        <v>147</v>
      </c>
      <c r="H181" s="8" t="s">
        <v>293</v>
      </c>
      <c r="I181" s="8" t="s">
        <v>57</v>
      </c>
      <c r="J181" s="8">
        <v>30</v>
      </c>
      <c r="K181" s="8">
        <v>31.1</v>
      </c>
      <c r="L181" s="8" t="s">
        <v>36</v>
      </c>
      <c r="O181" s="8" t="s">
        <v>125</v>
      </c>
      <c r="P181" s="13" t="s">
        <v>123</v>
      </c>
      <c r="Q181" s="21" t="s">
        <v>125</v>
      </c>
      <c r="R181" s="21" t="s">
        <v>126</v>
      </c>
      <c r="S181" s="21" t="s">
        <v>125</v>
      </c>
      <c r="T181" s="21" t="s">
        <v>128</v>
      </c>
      <c r="U181" s="20">
        <f t="shared" si="65"/>
        <v>45734</v>
      </c>
      <c r="V181" s="8" t="s">
        <v>125</v>
      </c>
      <c r="W181" s="8" t="s">
        <v>129</v>
      </c>
      <c r="X181" s="8" t="s">
        <v>127</v>
      </c>
      <c r="Y181" s="13" t="s">
        <v>772</v>
      </c>
      <c r="Z181" s="20">
        <v>45733</v>
      </c>
      <c r="AA181" s="8">
        <v>0</v>
      </c>
    </row>
    <row r="182" spans="1:27" ht="15" customHeight="1" x14ac:dyDescent="0.2">
      <c r="A182" s="13">
        <v>181</v>
      </c>
      <c r="B182" s="8" t="s">
        <v>125</v>
      </c>
      <c r="C182" s="14">
        <v>45729</v>
      </c>
      <c r="D182" s="8" t="s">
        <v>412</v>
      </c>
      <c r="E182" s="8" t="s">
        <v>576</v>
      </c>
      <c r="F182" s="8" t="s">
        <v>146</v>
      </c>
      <c r="G182" s="8" t="s">
        <v>767</v>
      </c>
      <c r="H182" s="8" t="s">
        <v>554</v>
      </c>
      <c r="I182" s="8" t="s">
        <v>57</v>
      </c>
      <c r="J182" s="8">
        <v>30</v>
      </c>
      <c r="K182" s="8">
        <v>31.3</v>
      </c>
      <c r="L182" s="8" t="s">
        <v>36</v>
      </c>
      <c r="O182" s="8" t="s">
        <v>125</v>
      </c>
      <c r="P182" s="13" t="s">
        <v>123</v>
      </c>
      <c r="Q182" s="21" t="s">
        <v>125</v>
      </c>
      <c r="R182" s="21" t="s">
        <v>126</v>
      </c>
      <c r="S182" s="21" t="s">
        <v>125</v>
      </c>
      <c r="T182" s="21" t="s">
        <v>128</v>
      </c>
      <c r="U182" s="20">
        <f t="shared" si="65"/>
        <v>45734</v>
      </c>
      <c r="V182" s="8" t="s">
        <v>125</v>
      </c>
      <c r="W182" s="8" t="s">
        <v>129</v>
      </c>
      <c r="X182" s="8" t="s">
        <v>127</v>
      </c>
      <c r="Y182" s="13" t="s">
        <v>773</v>
      </c>
      <c r="Z182" s="20">
        <v>45733</v>
      </c>
      <c r="AA182" s="8">
        <v>0</v>
      </c>
    </row>
    <row r="183" spans="1:27" ht="15" customHeight="1" x14ac:dyDescent="0.2">
      <c r="A183" s="13">
        <v>182</v>
      </c>
      <c r="B183" s="8" t="s">
        <v>125</v>
      </c>
      <c r="C183" s="14">
        <v>45729</v>
      </c>
      <c r="D183" s="8" t="s">
        <v>66</v>
      </c>
      <c r="E183" s="8" t="s">
        <v>652</v>
      </c>
      <c r="F183" s="8" t="s">
        <v>653</v>
      </c>
      <c r="G183" s="8" t="s">
        <v>619</v>
      </c>
      <c r="H183" s="8" t="s">
        <v>92</v>
      </c>
      <c r="I183" s="8" t="s">
        <v>57</v>
      </c>
      <c r="J183" s="8">
        <v>30</v>
      </c>
      <c r="K183" s="8">
        <v>33</v>
      </c>
      <c r="L183" s="8" t="s">
        <v>36</v>
      </c>
      <c r="O183" s="8" t="s">
        <v>125</v>
      </c>
      <c r="P183" s="13" t="s">
        <v>123</v>
      </c>
      <c r="Q183" s="21" t="s">
        <v>125</v>
      </c>
      <c r="R183" s="21" t="s">
        <v>126</v>
      </c>
      <c r="S183" s="21" t="s">
        <v>125</v>
      </c>
      <c r="T183" s="21" t="s">
        <v>128</v>
      </c>
      <c r="U183" s="20">
        <f t="shared" si="65"/>
        <v>45734</v>
      </c>
      <c r="V183" s="8" t="s">
        <v>125</v>
      </c>
      <c r="W183" s="8" t="s">
        <v>129</v>
      </c>
      <c r="X183" s="8" t="s">
        <v>127</v>
      </c>
      <c r="Y183" s="13" t="s">
        <v>774</v>
      </c>
      <c r="Z183" s="20">
        <v>45733</v>
      </c>
      <c r="AA183" s="8">
        <v>0</v>
      </c>
    </row>
    <row r="184" spans="1:27" ht="15" customHeight="1" x14ac:dyDescent="0.2">
      <c r="A184" s="13">
        <v>183</v>
      </c>
      <c r="B184" s="8" t="s">
        <v>125</v>
      </c>
      <c r="C184" s="14">
        <v>45731</v>
      </c>
      <c r="D184" s="8" t="s">
        <v>131</v>
      </c>
      <c r="E184" s="8" t="s">
        <v>553</v>
      </c>
      <c r="F184" s="8" t="s">
        <v>56</v>
      </c>
      <c r="G184" s="8" t="s">
        <v>768</v>
      </c>
      <c r="H184" s="8" t="s">
        <v>507</v>
      </c>
      <c r="I184" s="8" t="s">
        <v>24</v>
      </c>
      <c r="J184" s="8">
        <v>1050</v>
      </c>
      <c r="K184" s="8">
        <v>1095</v>
      </c>
      <c r="L184" s="8" t="s">
        <v>25</v>
      </c>
      <c r="O184" s="8" t="s">
        <v>125</v>
      </c>
      <c r="P184" s="13" t="s">
        <v>123</v>
      </c>
      <c r="Q184" s="21" t="s">
        <v>125</v>
      </c>
      <c r="R184" s="21" t="s">
        <v>126</v>
      </c>
      <c r="S184" s="21" t="s">
        <v>125</v>
      </c>
      <c r="T184" s="21" t="s">
        <v>128</v>
      </c>
      <c r="U184" s="20">
        <f t="shared" si="65"/>
        <v>45734</v>
      </c>
      <c r="V184" s="8" t="s">
        <v>125</v>
      </c>
      <c r="W184" s="8" t="s">
        <v>129</v>
      </c>
      <c r="X184" s="8" t="s">
        <v>127</v>
      </c>
      <c r="Y184" s="13" t="s">
        <v>775</v>
      </c>
      <c r="Z184" s="20">
        <v>45733</v>
      </c>
      <c r="AA184" s="8">
        <v>0</v>
      </c>
    </row>
    <row r="185" spans="1:27" ht="15" customHeight="1" x14ac:dyDescent="0.2">
      <c r="A185" s="13">
        <v>184</v>
      </c>
      <c r="B185" s="8" t="s">
        <v>125</v>
      </c>
      <c r="C185" s="14">
        <v>45732</v>
      </c>
      <c r="D185" s="8" t="s">
        <v>40</v>
      </c>
      <c r="E185" s="8" t="s">
        <v>769</v>
      </c>
      <c r="F185" s="8" t="s">
        <v>770</v>
      </c>
      <c r="G185" s="8" t="s">
        <v>134</v>
      </c>
      <c r="H185" s="8" t="s">
        <v>332</v>
      </c>
      <c r="I185" s="8" t="s">
        <v>27</v>
      </c>
      <c r="J185" s="8" t="s">
        <v>294</v>
      </c>
      <c r="K185" s="8">
        <v>877</v>
      </c>
      <c r="L185" s="8" t="s">
        <v>26</v>
      </c>
      <c r="O185" s="8" t="s">
        <v>777</v>
      </c>
      <c r="P185" s="13" t="s">
        <v>123</v>
      </c>
      <c r="Q185" s="21" t="s">
        <v>125</v>
      </c>
      <c r="R185" s="21" t="s">
        <v>126</v>
      </c>
      <c r="S185" s="21" t="s">
        <v>125</v>
      </c>
      <c r="T185" s="21" t="s">
        <v>128</v>
      </c>
      <c r="U185" s="20">
        <f t="shared" si="65"/>
        <v>45734</v>
      </c>
      <c r="V185" s="8" t="s">
        <v>125</v>
      </c>
      <c r="W185" s="8" t="s">
        <v>129</v>
      </c>
      <c r="X185" s="8" t="s">
        <v>127</v>
      </c>
      <c r="Y185" s="13" t="s">
        <v>776</v>
      </c>
      <c r="Z185" s="20">
        <v>45733</v>
      </c>
      <c r="AA185" s="8">
        <v>0</v>
      </c>
    </row>
    <row r="186" spans="1:27" ht="15" customHeight="1" x14ac:dyDescent="0.2">
      <c r="A186" s="13">
        <v>185</v>
      </c>
      <c r="B186" s="8">
        <v>8137</v>
      </c>
      <c r="C186" s="14">
        <v>45733</v>
      </c>
      <c r="D186" s="8" t="s">
        <v>168</v>
      </c>
      <c r="E186" s="8" t="s">
        <v>520</v>
      </c>
      <c r="F186" s="8" t="s">
        <v>311</v>
      </c>
      <c r="G186" s="8" t="s">
        <v>703</v>
      </c>
      <c r="H186" s="8" t="s">
        <v>335</v>
      </c>
      <c r="I186" s="8" t="s">
        <v>78</v>
      </c>
      <c r="J186" s="8">
        <v>2.1</v>
      </c>
      <c r="K186" s="8">
        <v>2.2519999999999998</v>
      </c>
      <c r="L186" s="8" t="s">
        <v>36</v>
      </c>
      <c r="O186" s="8" t="s">
        <v>787</v>
      </c>
      <c r="P186" s="13" t="s">
        <v>115</v>
      </c>
      <c r="Q186" s="8" t="s">
        <v>130</v>
      </c>
      <c r="R186" s="8" t="s">
        <v>984</v>
      </c>
      <c r="S186" s="21" t="s">
        <v>125</v>
      </c>
      <c r="T186" s="8" t="s">
        <v>128</v>
      </c>
      <c r="U186" s="14">
        <v>45754</v>
      </c>
      <c r="V186" s="20">
        <v>45733</v>
      </c>
      <c r="W186" s="8" t="s">
        <v>129</v>
      </c>
      <c r="X186" s="8" t="str">
        <f t="shared" ref="X186:X187" si="66">G186&amp;AB$1&amp;O186</f>
        <v>DHRUV MITAL/FSD/Exceedance/B737/25-03/27</v>
      </c>
      <c r="Y186" s="13" t="s">
        <v>790</v>
      </c>
      <c r="Z186" s="20">
        <v>45734</v>
      </c>
      <c r="AA186" s="8">
        <f t="shared" si="47"/>
        <v>21</v>
      </c>
    </row>
    <row r="187" spans="1:27" ht="15" customHeight="1" x14ac:dyDescent="0.2">
      <c r="A187" s="13">
        <v>186</v>
      </c>
      <c r="B187" s="8">
        <v>8138</v>
      </c>
      <c r="C187" s="14">
        <v>45733</v>
      </c>
      <c r="D187" s="8" t="s">
        <v>48</v>
      </c>
      <c r="E187" s="8" t="s">
        <v>314</v>
      </c>
      <c r="F187" s="8" t="s">
        <v>315</v>
      </c>
      <c r="G187" s="8" t="s">
        <v>674</v>
      </c>
      <c r="H187" s="8" t="s">
        <v>554</v>
      </c>
      <c r="I187" s="8" t="s">
        <v>778</v>
      </c>
      <c r="J187" s="8">
        <v>950</v>
      </c>
      <c r="K187" s="8">
        <v>952</v>
      </c>
      <c r="L187" s="8" t="s">
        <v>716</v>
      </c>
      <c r="O187" s="8" t="s">
        <v>788</v>
      </c>
      <c r="P187" s="13" t="s">
        <v>115</v>
      </c>
      <c r="Q187" s="8" t="s">
        <v>130</v>
      </c>
      <c r="R187" s="8" t="s">
        <v>219</v>
      </c>
      <c r="S187" s="8" t="s">
        <v>129</v>
      </c>
      <c r="T187" s="8" t="s">
        <v>128</v>
      </c>
      <c r="U187" s="20">
        <v>45737</v>
      </c>
      <c r="V187" s="20">
        <v>45733</v>
      </c>
      <c r="W187" s="8" t="s">
        <v>129</v>
      </c>
      <c r="X187" s="8" t="str">
        <f t="shared" si="66"/>
        <v>ARIHANT JAIN/FSD/Exceedance/B737/25-03/28</v>
      </c>
      <c r="Y187" s="13" t="s">
        <v>791</v>
      </c>
      <c r="Z187" s="20">
        <v>45734</v>
      </c>
      <c r="AA187" s="8">
        <f t="shared" si="47"/>
        <v>4</v>
      </c>
    </row>
    <row r="188" spans="1:27" ht="15" customHeight="1" x14ac:dyDescent="0.2">
      <c r="A188" s="13">
        <v>187</v>
      </c>
      <c r="B188" s="8" t="s">
        <v>125</v>
      </c>
      <c r="C188" s="14">
        <v>45733</v>
      </c>
      <c r="D188" s="8" t="s">
        <v>191</v>
      </c>
      <c r="E188" s="8" t="s">
        <v>779</v>
      </c>
      <c r="F188" s="8" t="s">
        <v>780</v>
      </c>
      <c r="G188" s="8" t="s">
        <v>511</v>
      </c>
      <c r="H188" s="8" t="s">
        <v>781</v>
      </c>
      <c r="I188" s="8" t="s">
        <v>313</v>
      </c>
      <c r="J188" s="17"/>
      <c r="K188" s="8">
        <v>918</v>
      </c>
      <c r="L188" s="8" t="s">
        <v>26</v>
      </c>
      <c r="O188" s="8" t="s">
        <v>125</v>
      </c>
      <c r="P188" s="13" t="s">
        <v>123</v>
      </c>
      <c r="Q188" s="21" t="s">
        <v>125</v>
      </c>
      <c r="R188" s="21" t="s">
        <v>126</v>
      </c>
      <c r="S188" s="21" t="s">
        <v>125</v>
      </c>
      <c r="T188" s="21" t="s">
        <v>128</v>
      </c>
      <c r="U188" s="20">
        <f t="shared" ref="U188" si="67">(Z188+1)</f>
        <v>45735</v>
      </c>
      <c r="V188" s="8" t="s">
        <v>125</v>
      </c>
      <c r="W188" s="8" t="s">
        <v>129</v>
      </c>
      <c r="X188" s="8" t="s">
        <v>127</v>
      </c>
      <c r="Y188" s="13" t="s">
        <v>792</v>
      </c>
      <c r="Z188" s="20">
        <v>45734</v>
      </c>
      <c r="AA188" s="8">
        <v>0</v>
      </c>
    </row>
    <row r="189" spans="1:27" ht="15" customHeight="1" x14ac:dyDescent="0.2">
      <c r="A189" s="13">
        <v>188</v>
      </c>
      <c r="B189" s="8">
        <v>8139</v>
      </c>
      <c r="C189" s="20">
        <v>45729</v>
      </c>
      <c r="D189" s="8" t="s">
        <v>256</v>
      </c>
      <c r="E189" s="8" t="s">
        <v>782</v>
      </c>
      <c r="F189" s="8" t="s">
        <v>783</v>
      </c>
      <c r="G189" s="8" t="s">
        <v>646</v>
      </c>
      <c r="H189" s="8" t="s">
        <v>88</v>
      </c>
      <c r="I189" s="8" t="s">
        <v>261</v>
      </c>
      <c r="J189" s="8">
        <v>30</v>
      </c>
      <c r="K189" s="8">
        <v>31.5</v>
      </c>
      <c r="L189" s="8" t="s">
        <v>784</v>
      </c>
      <c r="O189" s="8" t="s">
        <v>789</v>
      </c>
      <c r="P189" s="13" t="s">
        <v>115</v>
      </c>
      <c r="Q189" s="8" t="s">
        <v>130</v>
      </c>
      <c r="R189" s="8" t="s">
        <v>219</v>
      </c>
      <c r="S189" s="8" t="s">
        <v>129</v>
      </c>
      <c r="T189" s="8" t="s">
        <v>128</v>
      </c>
      <c r="U189" s="20">
        <v>45736</v>
      </c>
      <c r="V189" s="20">
        <v>45733</v>
      </c>
      <c r="W189" s="8" t="s">
        <v>129</v>
      </c>
      <c r="X189" s="8" t="str">
        <f t="shared" ref="X189" si="68">G189&amp;AB$1&amp;O189</f>
        <v>NITIN DEV SAVLODIA/FSD/Exceedance/B737/25-03/29</v>
      </c>
      <c r="Y189" s="13" t="s">
        <v>793</v>
      </c>
      <c r="Z189" s="20">
        <v>45734</v>
      </c>
      <c r="AA189" s="8">
        <f t="shared" si="47"/>
        <v>3</v>
      </c>
    </row>
    <row r="190" spans="1:27" ht="15" customHeight="1" x14ac:dyDescent="0.2">
      <c r="A190" s="13">
        <v>189</v>
      </c>
      <c r="B190" s="8" t="s">
        <v>125</v>
      </c>
      <c r="C190" s="14">
        <v>45733</v>
      </c>
      <c r="D190" s="8" t="s">
        <v>66</v>
      </c>
      <c r="E190" s="8" t="s">
        <v>572</v>
      </c>
      <c r="F190" s="8" t="s">
        <v>573</v>
      </c>
      <c r="G190" s="8" t="s">
        <v>785</v>
      </c>
      <c r="H190" s="8" t="s">
        <v>786</v>
      </c>
      <c r="I190" s="8" t="s">
        <v>57</v>
      </c>
      <c r="J190" s="8">
        <v>30</v>
      </c>
      <c r="K190" s="8">
        <v>32.9</v>
      </c>
      <c r="L190" s="8" t="s">
        <v>36</v>
      </c>
      <c r="O190" s="8" t="s">
        <v>125</v>
      </c>
      <c r="P190" s="13" t="s">
        <v>123</v>
      </c>
      <c r="Q190" s="21" t="s">
        <v>125</v>
      </c>
      <c r="R190" s="21" t="s">
        <v>126</v>
      </c>
      <c r="S190" s="21" t="s">
        <v>125</v>
      </c>
      <c r="T190" s="21" t="s">
        <v>128</v>
      </c>
      <c r="U190" s="20">
        <f t="shared" ref="U190:U191" si="69">(Z190+1)</f>
        <v>45735</v>
      </c>
      <c r="V190" s="8" t="s">
        <v>125</v>
      </c>
      <c r="W190" s="8" t="s">
        <v>129</v>
      </c>
      <c r="X190" s="8" t="s">
        <v>127</v>
      </c>
      <c r="Y190" s="13" t="s">
        <v>794</v>
      </c>
      <c r="Z190" s="20">
        <v>45734</v>
      </c>
      <c r="AA190" s="8">
        <v>0</v>
      </c>
    </row>
    <row r="191" spans="1:27" ht="15" customHeight="1" x14ac:dyDescent="0.2">
      <c r="A191" s="13">
        <v>190</v>
      </c>
      <c r="B191" s="8" t="s">
        <v>125</v>
      </c>
      <c r="C191" s="14">
        <v>45733</v>
      </c>
      <c r="D191" s="8" t="s">
        <v>412</v>
      </c>
      <c r="E191" s="8" t="s">
        <v>434</v>
      </c>
      <c r="F191" s="8" t="s">
        <v>299</v>
      </c>
      <c r="G191" s="8" t="s">
        <v>364</v>
      </c>
      <c r="H191" s="8" t="s">
        <v>186</v>
      </c>
      <c r="I191" s="8" t="s">
        <v>57</v>
      </c>
      <c r="J191" s="8">
        <v>30</v>
      </c>
      <c r="K191" s="8">
        <v>31.5</v>
      </c>
      <c r="L191" s="8" t="s">
        <v>36</v>
      </c>
      <c r="O191" s="8" t="s">
        <v>125</v>
      </c>
      <c r="P191" s="13" t="s">
        <v>123</v>
      </c>
      <c r="Q191" s="21" t="s">
        <v>125</v>
      </c>
      <c r="R191" s="21" t="s">
        <v>126</v>
      </c>
      <c r="S191" s="21" t="s">
        <v>125</v>
      </c>
      <c r="T191" s="21" t="s">
        <v>128</v>
      </c>
      <c r="U191" s="20">
        <f t="shared" si="69"/>
        <v>45735</v>
      </c>
      <c r="V191" s="8" t="s">
        <v>125</v>
      </c>
      <c r="W191" s="8" t="s">
        <v>129</v>
      </c>
      <c r="X191" s="8" t="s">
        <v>127</v>
      </c>
      <c r="Y191" s="13" t="s">
        <v>795</v>
      </c>
      <c r="Z191" s="20">
        <v>45734</v>
      </c>
      <c r="AA191" s="8">
        <v>0</v>
      </c>
    </row>
    <row r="192" spans="1:27" ht="15" customHeight="1" x14ac:dyDescent="0.2">
      <c r="A192" s="13">
        <v>191</v>
      </c>
      <c r="B192" s="8">
        <v>8144</v>
      </c>
      <c r="C192" s="14">
        <v>45733</v>
      </c>
      <c r="D192" s="8" t="s">
        <v>48</v>
      </c>
      <c r="E192" s="8" t="s">
        <v>796</v>
      </c>
      <c r="F192" s="8" t="s">
        <v>797</v>
      </c>
      <c r="G192" s="8" t="s">
        <v>650</v>
      </c>
      <c r="H192" s="8" t="s">
        <v>348</v>
      </c>
      <c r="I192" s="8" t="s">
        <v>114</v>
      </c>
      <c r="J192" s="8">
        <v>1</v>
      </c>
      <c r="K192" s="8">
        <v>1.68</v>
      </c>
      <c r="L192" s="8" t="s">
        <v>34</v>
      </c>
      <c r="O192" s="8" t="s">
        <v>800</v>
      </c>
      <c r="P192" s="13" t="s">
        <v>115</v>
      </c>
      <c r="Q192" s="8" t="s">
        <v>130</v>
      </c>
      <c r="R192" s="8" t="s">
        <v>408</v>
      </c>
      <c r="S192" s="8" t="s">
        <v>129</v>
      </c>
      <c r="T192" s="8" t="s">
        <v>128</v>
      </c>
      <c r="U192" s="14">
        <v>45737</v>
      </c>
      <c r="V192" s="20">
        <v>45735</v>
      </c>
      <c r="W192" s="8" t="s">
        <v>129</v>
      </c>
      <c r="X192" s="8" t="str">
        <f t="shared" ref="X192:X193" si="70">G192&amp;AB$1&amp;O192</f>
        <v>MOHIT BHARDWAJ/FSD/Exceedance/B737/25-03/30</v>
      </c>
      <c r="Y192" s="13" t="s">
        <v>798</v>
      </c>
      <c r="Z192" s="20">
        <v>45735</v>
      </c>
      <c r="AA192" s="8">
        <f t="shared" si="47"/>
        <v>2</v>
      </c>
    </row>
    <row r="193" spans="1:27" ht="15" customHeight="1" x14ac:dyDescent="0.2">
      <c r="A193" s="13">
        <v>192</v>
      </c>
      <c r="B193" s="8">
        <v>8145</v>
      </c>
      <c r="C193" s="14">
        <v>45734</v>
      </c>
      <c r="D193" s="8" t="s">
        <v>191</v>
      </c>
      <c r="E193" s="8" t="s">
        <v>62</v>
      </c>
      <c r="F193" s="8" t="s">
        <v>747</v>
      </c>
      <c r="G193" s="8" t="s">
        <v>259</v>
      </c>
      <c r="H193" s="8" t="s">
        <v>190</v>
      </c>
      <c r="I193" s="8" t="s">
        <v>39</v>
      </c>
      <c r="J193" s="8">
        <v>1</v>
      </c>
      <c r="K193" s="8">
        <v>1.21</v>
      </c>
      <c r="L193" s="8" t="s">
        <v>34</v>
      </c>
      <c r="O193" s="8" t="s">
        <v>801</v>
      </c>
      <c r="P193" s="13" t="s">
        <v>115</v>
      </c>
      <c r="Q193" s="8" t="s">
        <v>130</v>
      </c>
      <c r="R193" s="8" t="s">
        <v>408</v>
      </c>
      <c r="S193" s="8" t="s">
        <v>129</v>
      </c>
      <c r="T193" s="8" t="s">
        <v>128</v>
      </c>
      <c r="U193" s="14">
        <v>45737</v>
      </c>
      <c r="V193" s="20">
        <v>45735</v>
      </c>
      <c r="W193" s="8" t="s">
        <v>129</v>
      </c>
      <c r="X193" s="8" t="str">
        <f t="shared" si="70"/>
        <v>TEJAS SALUJA/FSD/Exceedance/B737/25-03/31</v>
      </c>
      <c r="Y193" s="13" t="s">
        <v>799</v>
      </c>
      <c r="Z193" s="20">
        <v>45735</v>
      </c>
      <c r="AA193" s="8">
        <f t="shared" si="47"/>
        <v>2</v>
      </c>
    </row>
    <row r="194" spans="1:27" ht="15" customHeight="1" x14ac:dyDescent="0.2">
      <c r="A194" s="13">
        <v>193</v>
      </c>
      <c r="B194" s="8" t="s">
        <v>125</v>
      </c>
      <c r="C194" s="14">
        <v>45734</v>
      </c>
      <c r="D194" s="8" t="s">
        <v>168</v>
      </c>
      <c r="E194" s="8" t="s">
        <v>802</v>
      </c>
      <c r="F194" s="8" t="s">
        <v>803</v>
      </c>
      <c r="G194" s="8" t="s">
        <v>647</v>
      </c>
      <c r="H194" s="8" t="s">
        <v>804</v>
      </c>
      <c r="I194" s="8" t="s">
        <v>196</v>
      </c>
      <c r="J194" s="8">
        <v>4</v>
      </c>
      <c r="K194" s="8">
        <v>4.4000000000000004</v>
      </c>
      <c r="L194" s="8" t="s">
        <v>197</v>
      </c>
      <c r="M194" s="13"/>
      <c r="O194" s="8" t="s">
        <v>125</v>
      </c>
      <c r="P194" s="13" t="s">
        <v>123</v>
      </c>
      <c r="Q194" s="8" t="s">
        <v>125</v>
      </c>
      <c r="R194" s="8" t="s">
        <v>126</v>
      </c>
      <c r="S194" s="21" t="s">
        <v>125</v>
      </c>
      <c r="T194" s="21" t="s">
        <v>128</v>
      </c>
      <c r="U194" s="20">
        <f t="shared" ref="U194:U198" si="71">(Z194+1)</f>
        <v>45737</v>
      </c>
      <c r="V194" s="8" t="s">
        <v>125</v>
      </c>
      <c r="W194" s="8" t="s">
        <v>129</v>
      </c>
      <c r="X194" s="8" t="s">
        <v>127</v>
      </c>
      <c r="Y194" s="13" t="s">
        <v>805</v>
      </c>
      <c r="Z194" s="20">
        <v>45736</v>
      </c>
      <c r="AA194" s="8">
        <v>0</v>
      </c>
    </row>
    <row r="195" spans="1:27" ht="15" customHeight="1" x14ac:dyDescent="0.2">
      <c r="A195" s="13">
        <v>194</v>
      </c>
      <c r="B195" s="8" t="s">
        <v>125</v>
      </c>
      <c r="C195" s="14">
        <v>45734</v>
      </c>
      <c r="D195" s="8" t="s">
        <v>1014</v>
      </c>
      <c r="E195" s="8" t="s">
        <v>464</v>
      </c>
      <c r="F195" s="8" t="s">
        <v>465</v>
      </c>
      <c r="G195" s="13" t="s">
        <v>112</v>
      </c>
      <c r="H195" s="13" t="s">
        <v>288</v>
      </c>
      <c r="I195" s="8" t="s">
        <v>391</v>
      </c>
      <c r="J195" s="8" t="s">
        <v>392</v>
      </c>
      <c r="K195" s="8" t="s">
        <v>806</v>
      </c>
      <c r="L195" s="8" t="s">
        <v>42</v>
      </c>
      <c r="O195" s="8" t="s">
        <v>125</v>
      </c>
      <c r="P195" s="13" t="s">
        <v>123</v>
      </c>
      <c r="Q195" s="8" t="s">
        <v>125</v>
      </c>
      <c r="R195" s="8" t="s">
        <v>126</v>
      </c>
      <c r="S195" s="21" t="s">
        <v>125</v>
      </c>
      <c r="T195" s="21" t="s">
        <v>128</v>
      </c>
      <c r="U195" s="20">
        <f t="shared" si="71"/>
        <v>45737</v>
      </c>
      <c r="V195" s="8" t="s">
        <v>125</v>
      </c>
      <c r="W195" s="8" t="s">
        <v>129</v>
      </c>
      <c r="X195" s="8" t="s">
        <v>127</v>
      </c>
      <c r="Y195" s="13" t="s">
        <v>807</v>
      </c>
      <c r="Z195" s="20">
        <v>45736</v>
      </c>
      <c r="AA195" s="8">
        <v>0</v>
      </c>
    </row>
    <row r="196" spans="1:27" ht="15" customHeight="1" x14ac:dyDescent="0.2">
      <c r="A196" s="13">
        <v>195</v>
      </c>
      <c r="B196" s="8" t="s">
        <v>125</v>
      </c>
      <c r="C196" s="14">
        <v>45735</v>
      </c>
      <c r="D196" s="8" t="s">
        <v>66</v>
      </c>
      <c r="E196" s="8" t="s">
        <v>652</v>
      </c>
      <c r="F196" s="8" t="s">
        <v>653</v>
      </c>
      <c r="G196" s="8" t="s">
        <v>808</v>
      </c>
      <c r="H196" s="13" t="s">
        <v>55</v>
      </c>
      <c r="I196" s="8" t="s">
        <v>27</v>
      </c>
      <c r="J196" s="8" t="s">
        <v>28</v>
      </c>
      <c r="K196" s="8" t="s">
        <v>809</v>
      </c>
      <c r="L196" s="8" t="s">
        <v>26</v>
      </c>
      <c r="O196" s="8" t="s">
        <v>810</v>
      </c>
      <c r="P196" s="13" t="s">
        <v>123</v>
      </c>
      <c r="Q196" s="8" t="s">
        <v>130</v>
      </c>
      <c r="R196" s="8" t="s">
        <v>126</v>
      </c>
      <c r="S196" s="21" t="s">
        <v>125</v>
      </c>
      <c r="T196" s="21" t="s">
        <v>128</v>
      </c>
      <c r="U196" s="20">
        <f t="shared" si="71"/>
        <v>45737</v>
      </c>
      <c r="V196" s="8" t="s">
        <v>125</v>
      </c>
      <c r="W196" s="8" t="s">
        <v>129</v>
      </c>
      <c r="X196" s="8" t="s">
        <v>127</v>
      </c>
      <c r="Y196" s="13" t="s">
        <v>811</v>
      </c>
      <c r="Z196" s="20">
        <v>45736</v>
      </c>
      <c r="AA196" s="8">
        <v>0</v>
      </c>
    </row>
    <row r="197" spans="1:27" ht="15" customHeight="1" x14ac:dyDescent="0.2">
      <c r="A197" s="13">
        <v>196</v>
      </c>
      <c r="B197" s="8" t="s">
        <v>125</v>
      </c>
      <c r="C197" s="14">
        <v>45735</v>
      </c>
      <c r="D197" s="8" t="s">
        <v>256</v>
      </c>
      <c r="E197" s="8" t="s">
        <v>413</v>
      </c>
      <c r="F197" s="8" t="s">
        <v>315</v>
      </c>
      <c r="G197" s="8" t="s">
        <v>222</v>
      </c>
      <c r="H197" s="8" t="s">
        <v>812</v>
      </c>
      <c r="I197" s="8" t="s">
        <v>27</v>
      </c>
      <c r="J197" s="8" t="s">
        <v>28</v>
      </c>
      <c r="K197" s="8">
        <v>2596</v>
      </c>
      <c r="L197" s="8" t="s">
        <v>26</v>
      </c>
      <c r="O197" s="8" t="s">
        <v>813</v>
      </c>
      <c r="P197" s="13" t="s">
        <v>123</v>
      </c>
      <c r="Q197" s="21" t="s">
        <v>125</v>
      </c>
      <c r="R197" s="21" t="s">
        <v>126</v>
      </c>
      <c r="S197" s="21" t="s">
        <v>125</v>
      </c>
      <c r="T197" s="21" t="s">
        <v>128</v>
      </c>
      <c r="U197" s="20">
        <f t="shared" si="71"/>
        <v>45738</v>
      </c>
      <c r="V197" s="8" t="s">
        <v>125</v>
      </c>
      <c r="W197" s="8" t="s">
        <v>129</v>
      </c>
      <c r="X197" s="8" t="s">
        <v>127</v>
      </c>
      <c r="Y197" s="13" t="s">
        <v>814</v>
      </c>
      <c r="Z197" s="20">
        <v>45737</v>
      </c>
      <c r="AA197" s="8">
        <v>0</v>
      </c>
    </row>
    <row r="198" spans="1:27" ht="15" customHeight="1" x14ac:dyDescent="0.2">
      <c r="A198" s="13">
        <v>197</v>
      </c>
      <c r="B198" s="8" t="s">
        <v>125</v>
      </c>
      <c r="C198" s="14">
        <v>45737</v>
      </c>
      <c r="D198" s="8" t="s">
        <v>139</v>
      </c>
      <c r="E198" s="8" t="s">
        <v>425</v>
      </c>
      <c r="F198" s="8" t="s">
        <v>299</v>
      </c>
      <c r="G198" s="8" t="s">
        <v>337</v>
      </c>
      <c r="H198" s="8" t="s">
        <v>293</v>
      </c>
      <c r="I198" s="8" t="s">
        <v>242</v>
      </c>
      <c r="K198" s="8" t="s">
        <v>815</v>
      </c>
      <c r="L198" s="8" t="s">
        <v>26</v>
      </c>
      <c r="O198" s="8" t="s">
        <v>125</v>
      </c>
      <c r="P198" s="8" t="s">
        <v>123</v>
      </c>
      <c r="Q198" s="8" t="s">
        <v>125</v>
      </c>
      <c r="R198" s="8" t="s">
        <v>126</v>
      </c>
      <c r="S198" s="21" t="s">
        <v>125</v>
      </c>
      <c r="T198" s="21" t="s">
        <v>128</v>
      </c>
      <c r="U198" s="20">
        <f t="shared" si="71"/>
        <v>45738</v>
      </c>
      <c r="V198" s="8" t="s">
        <v>125</v>
      </c>
      <c r="W198" s="8" t="s">
        <v>129</v>
      </c>
      <c r="X198" s="8" t="s">
        <v>127</v>
      </c>
      <c r="Y198" s="13" t="s">
        <v>816</v>
      </c>
      <c r="Z198" s="20">
        <v>45737</v>
      </c>
      <c r="AA198" s="8">
        <v>0</v>
      </c>
    </row>
    <row r="199" spans="1:27" ht="15" customHeight="1" x14ac:dyDescent="0.2">
      <c r="A199" s="13">
        <v>198</v>
      </c>
      <c r="B199" s="8">
        <v>8181</v>
      </c>
      <c r="C199" s="14">
        <v>45738</v>
      </c>
      <c r="D199" s="8" t="s">
        <v>256</v>
      </c>
      <c r="E199" s="8" t="s">
        <v>690</v>
      </c>
      <c r="F199" s="8" t="s">
        <v>691</v>
      </c>
      <c r="G199" s="8" t="s">
        <v>194</v>
      </c>
      <c r="H199" s="8" t="s">
        <v>55</v>
      </c>
      <c r="I199" s="8" t="s">
        <v>196</v>
      </c>
      <c r="J199" s="8">
        <v>4.5</v>
      </c>
      <c r="K199" s="8">
        <v>4.6500000000000004</v>
      </c>
      <c r="L199" s="8" t="s">
        <v>197</v>
      </c>
      <c r="O199" s="8" t="s">
        <v>825</v>
      </c>
      <c r="P199" s="8" t="s">
        <v>428</v>
      </c>
      <c r="Q199" s="8" t="s">
        <v>130</v>
      </c>
      <c r="R199" s="8" t="s">
        <v>408</v>
      </c>
      <c r="S199" s="8" t="s">
        <v>129</v>
      </c>
      <c r="T199" s="8" t="s">
        <v>128</v>
      </c>
      <c r="U199" s="20">
        <v>45764</v>
      </c>
      <c r="V199" s="20">
        <v>45739</v>
      </c>
      <c r="W199" s="8" t="s">
        <v>129</v>
      </c>
      <c r="X199" s="8" t="str">
        <f t="shared" ref="X199:X200" si="72">G199&amp;AB$1&amp;O199</f>
        <v>MAHENDRA KUVARJI CHHEDA/FSD/Exceedance/B737/25-03/34</v>
      </c>
      <c r="Y199" s="13" t="s">
        <v>817</v>
      </c>
      <c r="Z199" s="20">
        <v>45739</v>
      </c>
    </row>
    <row r="200" spans="1:27" ht="15" customHeight="1" x14ac:dyDescent="0.2">
      <c r="A200" s="13">
        <v>199</v>
      </c>
      <c r="B200" s="8">
        <v>8182</v>
      </c>
      <c r="C200" s="14">
        <v>45737</v>
      </c>
      <c r="D200" s="8" t="s">
        <v>168</v>
      </c>
      <c r="E200" s="8" t="s">
        <v>520</v>
      </c>
      <c r="F200" s="8" t="s">
        <v>311</v>
      </c>
      <c r="G200" s="8" t="s">
        <v>166</v>
      </c>
      <c r="H200" s="8" t="s">
        <v>365</v>
      </c>
      <c r="I200" s="8" t="s">
        <v>529</v>
      </c>
      <c r="J200" s="8" t="s">
        <v>530</v>
      </c>
      <c r="K200" s="8" t="s">
        <v>531</v>
      </c>
      <c r="L200" s="8" t="s">
        <v>42</v>
      </c>
      <c r="O200" s="8" t="s">
        <v>826</v>
      </c>
      <c r="P200" s="8" t="s">
        <v>428</v>
      </c>
      <c r="Q200" s="8" t="s">
        <v>130</v>
      </c>
      <c r="R200" s="8" t="s">
        <v>219</v>
      </c>
      <c r="S200" s="8" t="s">
        <v>129</v>
      </c>
      <c r="T200" s="8" t="s">
        <v>128</v>
      </c>
      <c r="U200" s="20">
        <v>45748</v>
      </c>
      <c r="V200" s="20">
        <v>45739</v>
      </c>
      <c r="W200" s="8" t="s">
        <v>129</v>
      </c>
      <c r="X200" s="8" t="str">
        <f t="shared" si="72"/>
        <v>SUDHIR SHARMA/FSD/Exceedance/B737/25-03/35</v>
      </c>
      <c r="Y200" s="13" t="s">
        <v>818</v>
      </c>
      <c r="Z200" s="20">
        <v>45739</v>
      </c>
      <c r="AA200" s="8">
        <f t="shared" ref="AA200:AA255" si="73">(U200-V200)</f>
        <v>9</v>
      </c>
    </row>
    <row r="201" spans="1:27" ht="15" customHeight="1" x14ac:dyDescent="0.2">
      <c r="A201" s="13">
        <v>200</v>
      </c>
      <c r="B201" s="8" t="s">
        <v>125</v>
      </c>
      <c r="C201" s="14">
        <v>45737</v>
      </c>
      <c r="D201" s="8" t="s">
        <v>131</v>
      </c>
      <c r="E201" s="8" t="s">
        <v>330</v>
      </c>
      <c r="F201" s="8" t="s">
        <v>331</v>
      </c>
      <c r="G201" s="8" t="s">
        <v>821</v>
      </c>
      <c r="H201" s="8" t="s">
        <v>822</v>
      </c>
      <c r="I201" s="8" t="s">
        <v>27</v>
      </c>
      <c r="J201" s="8" t="s">
        <v>28</v>
      </c>
      <c r="K201" s="8">
        <v>133</v>
      </c>
      <c r="L201" s="8" t="s">
        <v>26</v>
      </c>
      <c r="O201" s="8" t="s">
        <v>827</v>
      </c>
      <c r="P201" s="8" t="s">
        <v>123</v>
      </c>
      <c r="Q201" s="21" t="s">
        <v>125</v>
      </c>
      <c r="R201" s="21" t="s">
        <v>126</v>
      </c>
      <c r="S201" s="21" t="s">
        <v>125</v>
      </c>
      <c r="T201" s="21" t="s">
        <v>128</v>
      </c>
      <c r="U201" s="20">
        <f t="shared" ref="U201:U202" si="74">(Z201+1)</f>
        <v>45740</v>
      </c>
      <c r="V201" s="8" t="s">
        <v>125</v>
      </c>
      <c r="W201" s="8" t="s">
        <v>129</v>
      </c>
      <c r="X201" s="8" t="s">
        <v>127</v>
      </c>
      <c r="Y201" s="13" t="s">
        <v>819</v>
      </c>
      <c r="Z201" s="20">
        <v>45739</v>
      </c>
      <c r="AA201" s="8">
        <v>0</v>
      </c>
    </row>
    <row r="202" spans="1:27" ht="15" customHeight="1" x14ac:dyDescent="0.2">
      <c r="A202" s="13">
        <v>201</v>
      </c>
      <c r="B202" s="8" t="s">
        <v>125</v>
      </c>
      <c r="C202" s="14">
        <v>45738</v>
      </c>
      <c r="D202" s="8" t="s">
        <v>66</v>
      </c>
      <c r="E202" s="8" t="s">
        <v>44</v>
      </c>
      <c r="F202" s="8" t="s">
        <v>45</v>
      </c>
      <c r="G202" s="8" t="s">
        <v>823</v>
      </c>
      <c r="H202" s="8" t="s">
        <v>824</v>
      </c>
      <c r="I202" s="8" t="s">
        <v>27</v>
      </c>
      <c r="J202" s="8" t="s">
        <v>28</v>
      </c>
      <c r="K202" s="8">
        <v>216</v>
      </c>
      <c r="L202" s="8" t="s">
        <v>26</v>
      </c>
      <c r="O202" s="8" t="s">
        <v>828</v>
      </c>
      <c r="P202" s="8" t="s">
        <v>123</v>
      </c>
      <c r="Q202" s="21" t="s">
        <v>125</v>
      </c>
      <c r="R202" s="21" t="s">
        <v>126</v>
      </c>
      <c r="S202" s="21" t="s">
        <v>125</v>
      </c>
      <c r="T202" s="21" t="s">
        <v>128</v>
      </c>
      <c r="U202" s="20">
        <f t="shared" si="74"/>
        <v>45740</v>
      </c>
      <c r="V202" s="8" t="s">
        <v>125</v>
      </c>
      <c r="W202" s="8" t="s">
        <v>129</v>
      </c>
      <c r="X202" s="8" t="s">
        <v>127</v>
      </c>
      <c r="Y202" s="13" t="s">
        <v>820</v>
      </c>
      <c r="Z202" s="20">
        <v>45739</v>
      </c>
      <c r="AA202" s="8">
        <v>0</v>
      </c>
    </row>
    <row r="203" spans="1:27" ht="15" customHeight="1" x14ac:dyDescent="0.2">
      <c r="A203" s="13">
        <v>202</v>
      </c>
      <c r="B203" s="8">
        <v>8183</v>
      </c>
      <c r="C203" s="14">
        <v>45737</v>
      </c>
      <c r="D203" s="8" t="s">
        <v>191</v>
      </c>
      <c r="E203" s="8" t="s">
        <v>779</v>
      </c>
      <c r="F203" s="8" t="s">
        <v>780</v>
      </c>
      <c r="G203" s="8" t="s">
        <v>515</v>
      </c>
      <c r="H203" s="8" t="s">
        <v>494</v>
      </c>
      <c r="I203" s="8" t="s">
        <v>261</v>
      </c>
      <c r="J203" s="8">
        <v>30</v>
      </c>
      <c r="K203" s="8">
        <v>32</v>
      </c>
      <c r="L203" s="8" t="s">
        <v>784</v>
      </c>
      <c r="O203" s="8" t="s">
        <v>842</v>
      </c>
      <c r="P203" s="8" t="s">
        <v>115</v>
      </c>
      <c r="Q203" s="8" t="s">
        <v>130</v>
      </c>
      <c r="R203" s="8" t="s">
        <v>219</v>
      </c>
      <c r="S203" s="8" t="s">
        <v>129</v>
      </c>
      <c r="T203" s="8" t="s">
        <v>128</v>
      </c>
      <c r="U203" s="20">
        <v>45748</v>
      </c>
      <c r="V203" s="20">
        <v>45740</v>
      </c>
      <c r="W203" s="8" t="s">
        <v>129</v>
      </c>
      <c r="X203" s="8" t="str">
        <f t="shared" ref="X203" si="75">G203&amp;AB$1&amp;O203</f>
        <v>OLYM ROY/FSD/Exceedance/B737/25-03/38</v>
      </c>
      <c r="Y203" s="13" t="s">
        <v>836</v>
      </c>
      <c r="Z203" s="20">
        <v>45740</v>
      </c>
      <c r="AA203" s="8">
        <f t="shared" si="73"/>
        <v>8</v>
      </c>
    </row>
    <row r="204" spans="1:27" ht="15" customHeight="1" x14ac:dyDescent="0.2">
      <c r="A204" s="13">
        <v>203</v>
      </c>
      <c r="B204" s="8" t="s">
        <v>125</v>
      </c>
      <c r="C204" s="14">
        <v>45737</v>
      </c>
      <c r="D204" s="8" t="s">
        <v>54</v>
      </c>
      <c r="E204" s="8" t="s">
        <v>145</v>
      </c>
      <c r="F204" s="8" t="s">
        <v>146</v>
      </c>
      <c r="G204" s="8" t="s">
        <v>252</v>
      </c>
      <c r="H204" s="8" t="s">
        <v>668</v>
      </c>
      <c r="I204" s="8" t="s">
        <v>57</v>
      </c>
      <c r="J204" s="8">
        <v>30</v>
      </c>
      <c r="K204" s="8">
        <v>33.200000000000003</v>
      </c>
      <c r="L204" s="8" t="s">
        <v>36</v>
      </c>
      <c r="O204" s="8" t="s">
        <v>125</v>
      </c>
      <c r="P204" s="13" t="s">
        <v>123</v>
      </c>
      <c r="Q204" s="21" t="s">
        <v>125</v>
      </c>
      <c r="R204" s="21" t="s">
        <v>126</v>
      </c>
      <c r="S204" s="21" t="s">
        <v>125</v>
      </c>
      <c r="T204" s="21" t="s">
        <v>128</v>
      </c>
      <c r="U204" s="20">
        <f t="shared" ref="U204:U212" si="76">(Z204+1)</f>
        <v>45741</v>
      </c>
      <c r="V204" s="8" t="s">
        <v>125</v>
      </c>
      <c r="W204" s="8" t="s">
        <v>129</v>
      </c>
      <c r="X204" s="8" t="s">
        <v>127</v>
      </c>
      <c r="Y204" s="13" t="s">
        <v>837</v>
      </c>
      <c r="Z204" s="20">
        <v>45740</v>
      </c>
      <c r="AA204" s="8">
        <v>0</v>
      </c>
    </row>
    <row r="205" spans="1:27" ht="15" customHeight="1" x14ac:dyDescent="0.2">
      <c r="A205" s="13">
        <v>204</v>
      </c>
      <c r="B205" s="8" t="s">
        <v>125</v>
      </c>
      <c r="C205" s="14">
        <v>45737</v>
      </c>
      <c r="D205" s="8" t="s">
        <v>54</v>
      </c>
      <c r="E205" s="8" t="s">
        <v>145</v>
      </c>
      <c r="F205" s="8" t="s">
        <v>734</v>
      </c>
      <c r="G205" s="8" t="s">
        <v>829</v>
      </c>
      <c r="H205" s="8" t="s">
        <v>830</v>
      </c>
      <c r="I205" s="8" t="s">
        <v>58</v>
      </c>
      <c r="J205" s="8">
        <v>1200</v>
      </c>
      <c r="K205" s="8">
        <v>1147</v>
      </c>
      <c r="L205" s="8" t="s">
        <v>26</v>
      </c>
      <c r="O205" s="8" t="s">
        <v>125</v>
      </c>
      <c r="P205" s="13" t="s">
        <v>123</v>
      </c>
      <c r="Q205" s="21" t="s">
        <v>125</v>
      </c>
      <c r="R205" s="21" t="s">
        <v>126</v>
      </c>
      <c r="S205" s="21" t="s">
        <v>125</v>
      </c>
      <c r="T205" s="21" t="s">
        <v>128</v>
      </c>
      <c r="U205" s="20">
        <f t="shared" si="76"/>
        <v>45741</v>
      </c>
      <c r="V205" s="8" t="s">
        <v>125</v>
      </c>
      <c r="W205" s="8" t="s">
        <v>129</v>
      </c>
      <c r="X205" s="8" t="s">
        <v>127</v>
      </c>
      <c r="Y205" s="13" t="s">
        <v>838</v>
      </c>
      <c r="Z205" s="20">
        <v>45740</v>
      </c>
      <c r="AA205" s="8">
        <v>0</v>
      </c>
    </row>
    <row r="206" spans="1:27" ht="15" customHeight="1" x14ac:dyDescent="0.2">
      <c r="A206" s="13">
        <v>205</v>
      </c>
      <c r="B206" s="8" t="s">
        <v>125</v>
      </c>
      <c r="C206" s="14">
        <v>45737</v>
      </c>
      <c r="D206" s="8" t="s">
        <v>139</v>
      </c>
      <c r="E206" s="8" t="s">
        <v>831</v>
      </c>
      <c r="F206" s="8" t="s">
        <v>487</v>
      </c>
      <c r="G206" s="8" t="s">
        <v>235</v>
      </c>
      <c r="H206" s="8" t="s">
        <v>684</v>
      </c>
      <c r="I206" s="8" t="s">
        <v>391</v>
      </c>
      <c r="J206" s="8" t="s">
        <v>392</v>
      </c>
      <c r="K206" s="8" t="s">
        <v>832</v>
      </c>
      <c r="L206" s="8" t="s">
        <v>42</v>
      </c>
      <c r="O206" s="8" t="s">
        <v>125</v>
      </c>
      <c r="P206" s="13" t="s">
        <v>123</v>
      </c>
      <c r="Q206" s="21" t="s">
        <v>125</v>
      </c>
      <c r="R206" s="21" t="s">
        <v>126</v>
      </c>
      <c r="S206" s="21" t="s">
        <v>125</v>
      </c>
      <c r="T206" s="21" t="s">
        <v>128</v>
      </c>
      <c r="U206" s="20">
        <f t="shared" si="76"/>
        <v>45741</v>
      </c>
      <c r="V206" s="8" t="s">
        <v>125</v>
      </c>
      <c r="W206" s="8" t="s">
        <v>129</v>
      </c>
      <c r="X206" s="8" t="s">
        <v>127</v>
      </c>
      <c r="Y206" s="13" t="s">
        <v>839</v>
      </c>
      <c r="Z206" s="20">
        <v>45740</v>
      </c>
      <c r="AA206" s="8">
        <v>0</v>
      </c>
    </row>
    <row r="207" spans="1:27" ht="15" customHeight="1" x14ac:dyDescent="0.2">
      <c r="A207" s="13">
        <v>206</v>
      </c>
      <c r="B207" s="8" t="s">
        <v>125</v>
      </c>
      <c r="C207" s="14">
        <v>45739</v>
      </c>
      <c r="D207" s="8" t="s">
        <v>191</v>
      </c>
      <c r="E207" s="8" t="s">
        <v>59</v>
      </c>
      <c r="F207" s="8" t="s">
        <v>635</v>
      </c>
      <c r="G207" s="8" t="s">
        <v>833</v>
      </c>
      <c r="H207" s="8" t="s">
        <v>190</v>
      </c>
      <c r="I207" s="8" t="s">
        <v>27</v>
      </c>
      <c r="J207" s="8" t="s">
        <v>294</v>
      </c>
      <c r="K207" s="8">
        <v>1647</v>
      </c>
      <c r="L207" s="8" t="s">
        <v>26</v>
      </c>
      <c r="O207" s="8" t="s">
        <v>843</v>
      </c>
      <c r="P207" s="13" t="s">
        <v>123</v>
      </c>
      <c r="Q207" s="21" t="s">
        <v>125</v>
      </c>
      <c r="R207" s="21" t="s">
        <v>126</v>
      </c>
      <c r="S207" s="21" t="s">
        <v>125</v>
      </c>
      <c r="T207" s="21" t="s">
        <v>128</v>
      </c>
      <c r="U207" s="20">
        <f t="shared" si="76"/>
        <v>45741</v>
      </c>
      <c r="V207" s="8" t="s">
        <v>125</v>
      </c>
      <c r="W207" s="8" t="s">
        <v>129</v>
      </c>
      <c r="X207" s="8" t="s">
        <v>127</v>
      </c>
      <c r="Y207" s="13" t="s">
        <v>840</v>
      </c>
      <c r="Z207" s="20">
        <v>45740</v>
      </c>
      <c r="AA207" s="8">
        <v>0</v>
      </c>
    </row>
    <row r="208" spans="1:27" ht="15" customHeight="1" x14ac:dyDescent="0.2">
      <c r="A208" s="13">
        <v>207</v>
      </c>
      <c r="B208" s="8" t="s">
        <v>125</v>
      </c>
      <c r="C208" s="14">
        <v>45739</v>
      </c>
      <c r="D208" s="8" t="s">
        <v>168</v>
      </c>
      <c r="E208" s="8" t="s">
        <v>262</v>
      </c>
      <c r="F208" s="8" t="s">
        <v>263</v>
      </c>
      <c r="G208" s="8" t="s">
        <v>166</v>
      </c>
      <c r="H208" s="8" t="s">
        <v>260</v>
      </c>
      <c r="I208" s="8" t="s">
        <v>529</v>
      </c>
      <c r="J208" s="8" t="s">
        <v>834</v>
      </c>
      <c r="K208" s="8" t="s">
        <v>835</v>
      </c>
      <c r="L208" s="8" t="s">
        <v>42</v>
      </c>
      <c r="O208" s="8" t="s">
        <v>125</v>
      </c>
      <c r="P208" s="13" t="s">
        <v>123</v>
      </c>
      <c r="Q208" s="21" t="s">
        <v>125</v>
      </c>
      <c r="R208" s="21" t="s">
        <v>126</v>
      </c>
      <c r="S208" s="21" t="s">
        <v>125</v>
      </c>
      <c r="T208" s="21" t="s">
        <v>128</v>
      </c>
      <c r="U208" s="20">
        <f t="shared" si="76"/>
        <v>45741</v>
      </c>
      <c r="V208" s="8" t="s">
        <v>125</v>
      </c>
      <c r="W208" s="8" t="s">
        <v>129</v>
      </c>
      <c r="X208" s="8" t="s">
        <v>127</v>
      </c>
      <c r="Y208" s="13" t="s">
        <v>841</v>
      </c>
      <c r="Z208" s="20">
        <v>45740</v>
      </c>
      <c r="AA208" s="8">
        <v>0</v>
      </c>
    </row>
    <row r="209" spans="1:27" ht="15" customHeight="1" x14ac:dyDescent="0.2">
      <c r="A209" s="13">
        <v>208</v>
      </c>
      <c r="B209" s="8" t="s">
        <v>125</v>
      </c>
      <c r="C209" s="14">
        <v>45740</v>
      </c>
      <c r="D209" s="8" t="s">
        <v>131</v>
      </c>
      <c r="E209" s="8" t="s">
        <v>844</v>
      </c>
      <c r="F209" s="8" t="s">
        <v>230</v>
      </c>
      <c r="G209" s="8" t="s">
        <v>823</v>
      </c>
      <c r="H209" s="8" t="s">
        <v>170</v>
      </c>
      <c r="I209" s="8" t="s">
        <v>27</v>
      </c>
      <c r="J209" s="8" t="s">
        <v>28</v>
      </c>
      <c r="K209" s="8" t="s">
        <v>845</v>
      </c>
      <c r="L209" s="8" t="s">
        <v>26</v>
      </c>
      <c r="O209" s="8" t="s">
        <v>849</v>
      </c>
      <c r="P209" s="13" t="s">
        <v>123</v>
      </c>
      <c r="Q209" s="21" t="s">
        <v>125</v>
      </c>
      <c r="R209" s="21" t="s">
        <v>126</v>
      </c>
      <c r="S209" s="21" t="s">
        <v>125</v>
      </c>
      <c r="T209" s="21" t="s">
        <v>128</v>
      </c>
      <c r="U209" s="20">
        <f t="shared" si="76"/>
        <v>45742</v>
      </c>
      <c r="V209" s="8" t="s">
        <v>125</v>
      </c>
      <c r="W209" s="8" t="s">
        <v>129</v>
      </c>
      <c r="X209" s="8" t="s">
        <v>127</v>
      </c>
      <c r="Y209" s="13" t="s">
        <v>850</v>
      </c>
      <c r="Z209" s="20">
        <v>45741</v>
      </c>
      <c r="AA209" s="8">
        <v>0</v>
      </c>
    </row>
    <row r="210" spans="1:27" ht="15" customHeight="1" x14ac:dyDescent="0.2">
      <c r="A210" s="13">
        <v>209</v>
      </c>
      <c r="B210" s="8" t="s">
        <v>125</v>
      </c>
      <c r="C210" s="14">
        <v>45740</v>
      </c>
      <c r="D210" s="8" t="s">
        <v>66</v>
      </c>
      <c r="E210" s="8" t="s">
        <v>652</v>
      </c>
      <c r="F210" s="8" t="s">
        <v>653</v>
      </c>
      <c r="G210" s="8" t="s">
        <v>334</v>
      </c>
      <c r="H210" s="8" t="s">
        <v>846</v>
      </c>
      <c r="I210" s="8" t="s">
        <v>24</v>
      </c>
      <c r="J210" s="8">
        <v>1050</v>
      </c>
      <c r="K210" s="8">
        <v>1170</v>
      </c>
      <c r="L210" s="8" t="s">
        <v>25</v>
      </c>
      <c r="O210" s="8" t="s">
        <v>125</v>
      </c>
      <c r="P210" s="13" t="s">
        <v>123</v>
      </c>
      <c r="Q210" s="21" t="s">
        <v>125</v>
      </c>
      <c r="R210" s="21" t="s">
        <v>126</v>
      </c>
      <c r="S210" s="21" t="s">
        <v>125</v>
      </c>
      <c r="T210" s="21" t="s">
        <v>128</v>
      </c>
      <c r="U210" s="20">
        <f t="shared" si="76"/>
        <v>45742</v>
      </c>
      <c r="V210" s="8" t="s">
        <v>125</v>
      </c>
      <c r="W210" s="8" t="s">
        <v>129</v>
      </c>
      <c r="X210" s="8" t="s">
        <v>127</v>
      </c>
      <c r="Y210" s="13" t="s">
        <v>851</v>
      </c>
      <c r="Z210" s="20">
        <v>45741</v>
      </c>
      <c r="AA210" s="8">
        <v>0</v>
      </c>
    </row>
    <row r="211" spans="1:27" ht="15" customHeight="1" x14ac:dyDescent="0.2">
      <c r="A211" s="13">
        <v>210</v>
      </c>
      <c r="B211" s="8" t="s">
        <v>125</v>
      </c>
      <c r="C211" s="14">
        <v>45740</v>
      </c>
      <c r="D211" s="8" t="s">
        <v>40</v>
      </c>
      <c r="E211" s="8" t="s">
        <v>198</v>
      </c>
      <c r="F211" s="8" t="s">
        <v>199</v>
      </c>
      <c r="G211" s="8" t="s">
        <v>292</v>
      </c>
      <c r="H211" s="8" t="s">
        <v>148</v>
      </c>
      <c r="I211" s="8" t="s">
        <v>89</v>
      </c>
      <c r="J211" s="8" t="s">
        <v>530</v>
      </c>
      <c r="K211" s="8" t="s">
        <v>847</v>
      </c>
      <c r="L211" s="8" t="s">
        <v>42</v>
      </c>
      <c r="O211" s="8" t="s">
        <v>125</v>
      </c>
      <c r="P211" s="13" t="s">
        <v>123</v>
      </c>
      <c r="Q211" s="21" t="s">
        <v>125</v>
      </c>
      <c r="R211" s="21" t="s">
        <v>126</v>
      </c>
      <c r="S211" s="21" t="s">
        <v>125</v>
      </c>
      <c r="T211" s="21" t="s">
        <v>128</v>
      </c>
      <c r="U211" s="20">
        <f t="shared" si="76"/>
        <v>45742</v>
      </c>
      <c r="V211" s="8" t="s">
        <v>125</v>
      </c>
      <c r="W211" s="8" t="s">
        <v>129</v>
      </c>
      <c r="X211" s="8" t="s">
        <v>127</v>
      </c>
      <c r="Y211" s="26" t="s">
        <v>852</v>
      </c>
      <c r="Z211" s="20">
        <v>45741</v>
      </c>
      <c r="AA211" s="8">
        <v>0</v>
      </c>
    </row>
    <row r="212" spans="1:27" ht="15" customHeight="1" x14ac:dyDescent="0.2">
      <c r="A212" s="13">
        <v>211</v>
      </c>
      <c r="B212" s="8" t="s">
        <v>125</v>
      </c>
      <c r="C212" s="14">
        <v>45739</v>
      </c>
      <c r="D212" s="8" t="s">
        <v>412</v>
      </c>
      <c r="E212" s="8" t="s">
        <v>848</v>
      </c>
      <c r="F212" s="8" t="s">
        <v>421</v>
      </c>
      <c r="G212" s="8" t="s">
        <v>764</v>
      </c>
      <c r="H212" s="8" t="s">
        <v>751</v>
      </c>
      <c r="I212" s="8" t="s">
        <v>57</v>
      </c>
      <c r="J212" s="8">
        <v>30</v>
      </c>
      <c r="K212" s="8">
        <v>31.1</v>
      </c>
      <c r="L212" s="8" t="s">
        <v>271</v>
      </c>
      <c r="O212" s="8" t="s">
        <v>125</v>
      </c>
      <c r="P212" s="13" t="s">
        <v>123</v>
      </c>
      <c r="Q212" s="21" t="s">
        <v>125</v>
      </c>
      <c r="R212" s="21" t="s">
        <v>126</v>
      </c>
      <c r="S212" s="21" t="s">
        <v>125</v>
      </c>
      <c r="T212" s="21" t="s">
        <v>128</v>
      </c>
      <c r="U212" s="20">
        <f t="shared" si="76"/>
        <v>45742</v>
      </c>
      <c r="V212" s="8" t="s">
        <v>125</v>
      </c>
      <c r="W212" s="8" t="s">
        <v>129</v>
      </c>
      <c r="X212" s="8" t="s">
        <v>127</v>
      </c>
      <c r="Y212" s="13" t="s">
        <v>853</v>
      </c>
      <c r="Z212" s="20">
        <v>45741</v>
      </c>
      <c r="AA212" s="8">
        <v>0</v>
      </c>
    </row>
    <row r="213" spans="1:27" ht="15" customHeight="1" x14ac:dyDescent="0.2">
      <c r="A213" s="13">
        <v>212</v>
      </c>
      <c r="B213" s="8">
        <v>8189</v>
      </c>
      <c r="C213" s="14">
        <v>45741</v>
      </c>
      <c r="D213" s="8" t="s">
        <v>131</v>
      </c>
      <c r="E213" s="8" t="s">
        <v>854</v>
      </c>
      <c r="F213" s="8" t="s">
        <v>95</v>
      </c>
      <c r="G213" s="8" t="s">
        <v>714</v>
      </c>
      <c r="H213" s="8" t="s">
        <v>303</v>
      </c>
      <c r="I213" s="8" t="s">
        <v>64</v>
      </c>
      <c r="J213" s="8">
        <v>2914</v>
      </c>
      <c r="K213" s="8">
        <v>3214</v>
      </c>
      <c r="L213" s="8" t="s">
        <v>26</v>
      </c>
      <c r="O213" s="8" t="s">
        <v>856</v>
      </c>
      <c r="P213" s="8" t="s">
        <v>115</v>
      </c>
      <c r="Q213" s="8" t="s">
        <v>130</v>
      </c>
      <c r="R213" s="8" t="s">
        <v>408</v>
      </c>
      <c r="S213" s="8" t="s">
        <v>117</v>
      </c>
      <c r="T213" s="8" t="s">
        <v>1199</v>
      </c>
      <c r="U213" s="20">
        <v>45796</v>
      </c>
      <c r="V213" s="20">
        <v>45742</v>
      </c>
      <c r="W213" s="8" t="s">
        <v>129</v>
      </c>
      <c r="X213" s="8" t="str">
        <f t="shared" ref="X213" si="77">G213&amp;AB$1&amp;O213</f>
        <v>NILESH KUMAR NONHARE/FSD/Exceedance/B737/25-03/41</v>
      </c>
      <c r="Y213" s="22" t="s">
        <v>855</v>
      </c>
      <c r="Z213" s="20">
        <v>45742</v>
      </c>
    </row>
    <row r="214" spans="1:27" ht="15" customHeight="1" x14ac:dyDescent="0.2">
      <c r="A214" s="13">
        <v>213</v>
      </c>
      <c r="B214" s="8" t="s">
        <v>125</v>
      </c>
      <c r="C214" s="20">
        <v>45740</v>
      </c>
      <c r="D214" s="8" t="s">
        <v>40</v>
      </c>
      <c r="E214" s="8" t="s">
        <v>198</v>
      </c>
      <c r="F214" s="8" t="s">
        <v>857</v>
      </c>
      <c r="G214" s="13" t="s">
        <v>292</v>
      </c>
      <c r="H214" s="8" t="s">
        <v>148</v>
      </c>
      <c r="I214" s="8" t="s">
        <v>391</v>
      </c>
      <c r="J214" s="8" t="s">
        <v>392</v>
      </c>
      <c r="K214" s="8" t="s">
        <v>858</v>
      </c>
      <c r="L214" s="8" t="s">
        <v>42</v>
      </c>
      <c r="O214" s="8" t="s">
        <v>125</v>
      </c>
      <c r="P214" s="13" t="s">
        <v>123</v>
      </c>
      <c r="Q214" s="21" t="s">
        <v>125</v>
      </c>
      <c r="R214" s="21" t="s">
        <v>126</v>
      </c>
      <c r="S214" s="21" t="s">
        <v>125</v>
      </c>
      <c r="T214" s="21" t="s">
        <v>128</v>
      </c>
      <c r="U214" s="20">
        <f t="shared" ref="U214:U216" si="78">(Z214+1)</f>
        <v>45744</v>
      </c>
      <c r="V214" s="8" t="s">
        <v>125</v>
      </c>
      <c r="W214" s="8" t="s">
        <v>129</v>
      </c>
      <c r="X214" s="8" t="s">
        <v>127</v>
      </c>
      <c r="Y214" s="13" t="s">
        <v>859</v>
      </c>
      <c r="Z214" s="20">
        <v>45743</v>
      </c>
      <c r="AA214" s="8">
        <v>0</v>
      </c>
    </row>
    <row r="215" spans="1:27" ht="15" customHeight="1" x14ac:dyDescent="0.2">
      <c r="A215" s="13">
        <v>214</v>
      </c>
      <c r="B215" s="8" t="s">
        <v>125</v>
      </c>
      <c r="C215" s="14">
        <v>45741</v>
      </c>
      <c r="D215" s="8" t="s">
        <v>249</v>
      </c>
      <c r="E215" s="8" t="s">
        <v>286</v>
      </c>
      <c r="F215" s="8" t="s">
        <v>411</v>
      </c>
      <c r="G215" s="8" t="s">
        <v>374</v>
      </c>
      <c r="H215" s="8" t="s">
        <v>260</v>
      </c>
      <c r="I215" s="8" t="s">
        <v>57</v>
      </c>
      <c r="J215" s="8">
        <v>30</v>
      </c>
      <c r="K215" s="8">
        <v>31.1</v>
      </c>
      <c r="L215" s="8" t="s">
        <v>271</v>
      </c>
      <c r="O215" s="8" t="s">
        <v>125</v>
      </c>
      <c r="P215" s="13" t="s">
        <v>123</v>
      </c>
      <c r="Q215" s="21" t="s">
        <v>125</v>
      </c>
      <c r="R215" s="21" t="s">
        <v>126</v>
      </c>
      <c r="S215" s="21" t="s">
        <v>125</v>
      </c>
      <c r="T215" s="21" t="s">
        <v>128</v>
      </c>
      <c r="U215" s="20">
        <f t="shared" si="78"/>
        <v>45744</v>
      </c>
      <c r="V215" s="8" t="s">
        <v>125</v>
      </c>
      <c r="W215" s="8" t="s">
        <v>129</v>
      </c>
      <c r="X215" s="8" t="s">
        <v>127</v>
      </c>
      <c r="Y215" s="13" t="s">
        <v>860</v>
      </c>
      <c r="Z215" s="20">
        <v>45743</v>
      </c>
      <c r="AA215" s="8">
        <v>0</v>
      </c>
    </row>
    <row r="216" spans="1:27" ht="15" customHeight="1" x14ac:dyDescent="0.2">
      <c r="A216" s="13">
        <v>215</v>
      </c>
      <c r="B216" s="8" t="s">
        <v>125</v>
      </c>
      <c r="C216" s="20">
        <v>45742</v>
      </c>
      <c r="D216" s="8" t="s">
        <v>30</v>
      </c>
      <c r="E216" s="8" t="s">
        <v>682</v>
      </c>
      <c r="F216" s="8" t="s">
        <v>683</v>
      </c>
      <c r="G216" s="13" t="s">
        <v>667</v>
      </c>
      <c r="H216" s="13" t="s">
        <v>668</v>
      </c>
      <c r="I216" s="8" t="s">
        <v>391</v>
      </c>
      <c r="J216" s="8" t="s">
        <v>392</v>
      </c>
      <c r="K216" s="8" t="s">
        <v>858</v>
      </c>
      <c r="L216" s="8" t="s">
        <v>42</v>
      </c>
      <c r="O216" s="8" t="s">
        <v>125</v>
      </c>
      <c r="P216" s="13" t="s">
        <v>123</v>
      </c>
      <c r="Q216" s="21" t="s">
        <v>125</v>
      </c>
      <c r="R216" s="21" t="s">
        <v>126</v>
      </c>
      <c r="S216" s="21" t="s">
        <v>125</v>
      </c>
      <c r="T216" s="21" t="s">
        <v>128</v>
      </c>
      <c r="U216" s="20">
        <f t="shared" si="78"/>
        <v>45744</v>
      </c>
      <c r="V216" s="8" t="s">
        <v>125</v>
      </c>
      <c r="W216" s="8" t="s">
        <v>129</v>
      </c>
      <c r="X216" s="8" t="s">
        <v>127</v>
      </c>
      <c r="Y216" s="13" t="s">
        <v>861</v>
      </c>
      <c r="Z216" s="20">
        <v>45743</v>
      </c>
      <c r="AA216" s="8">
        <v>0</v>
      </c>
    </row>
    <row r="217" spans="1:27" ht="15" customHeight="1" x14ac:dyDescent="0.2">
      <c r="A217" s="13">
        <v>216</v>
      </c>
      <c r="B217" s="8">
        <v>8209</v>
      </c>
      <c r="C217" s="14">
        <v>45742</v>
      </c>
      <c r="D217" s="8" t="s">
        <v>249</v>
      </c>
      <c r="E217" s="8" t="s">
        <v>110</v>
      </c>
      <c r="F217" s="8" t="s">
        <v>111</v>
      </c>
      <c r="G217" s="8" t="s">
        <v>862</v>
      </c>
      <c r="H217" s="8" t="s">
        <v>379</v>
      </c>
      <c r="I217" s="8" t="s">
        <v>24</v>
      </c>
      <c r="J217" s="8">
        <v>1100</v>
      </c>
      <c r="K217" s="8">
        <v>1215</v>
      </c>
      <c r="L217" s="8" t="s">
        <v>25</v>
      </c>
      <c r="O217" s="8" t="s">
        <v>863</v>
      </c>
      <c r="P217" s="8" t="s">
        <v>115</v>
      </c>
      <c r="Q217" s="8" t="s">
        <v>130</v>
      </c>
      <c r="R217" s="8" t="s">
        <v>219</v>
      </c>
      <c r="S217" s="8" t="s">
        <v>129</v>
      </c>
      <c r="T217" s="8" t="s">
        <v>128</v>
      </c>
      <c r="U217" s="20">
        <v>45776</v>
      </c>
      <c r="V217" s="20">
        <v>45742</v>
      </c>
      <c r="W217" s="8" t="s">
        <v>129</v>
      </c>
      <c r="X217" s="8" t="str">
        <f t="shared" ref="X217" si="79">G217&amp;AB$1&amp;O217</f>
        <v>RAHUL SHARMA/FSD/Exceedance/B737/25-03/42</v>
      </c>
      <c r="Y217" s="13" t="s">
        <v>864</v>
      </c>
      <c r="Z217" s="20">
        <v>45743</v>
      </c>
    </row>
    <row r="218" spans="1:27" ht="15" customHeight="1" x14ac:dyDescent="0.2">
      <c r="A218" s="8">
        <v>217</v>
      </c>
      <c r="B218" s="8" t="s">
        <v>125</v>
      </c>
      <c r="C218" s="14">
        <v>45742</v>
      </c>
      <c r="D218" s="8" t="s">
        <v>54</v>
      </c>
      <c r="E218" s="8" t="s">
        <v>865</v>
      </c>
      <c r="F218" s="8" t="s">
        <v>221</v>
      </c>
      <c r="G218" s="8" t="s">
        <v>477</v>
      </c>
      <c r="H218" s="8" t="s">
        <v>348</v>
      </c>
      <c r="I218" s="8" t="s">
        <v>313</v>
      </c>
      <c r="K218" s="8">
        <v>38</v>
      </c>
      <c r="L218" s="8" t="s">
        <v>26</v>
      </c>
      <c r="O218" s="8" t="s">
        <v>125</v>
      </c>
      <c r="P218" s="13" t="s">
        <v>123</v>
      </c>
      <c r="Q218" s="21" t="s">
        <v>125</v>
      </c>
      <c r="R218" s="21" t="s">
        <v>126</v>
      </c>
      <c r="S218" s="21" t="s">
        <v>125</v>
      </c>
      <c r="T218" s="21" t="s">
        <v>128</v>
      </c>
      <c r="U218" s="20">
        <f t="shared" ref="U218:U220" si="80">(Z218+1)</f>
        <v>45745</v>
      </c>
      <c r="V218" s="8" t="s">
        <v>125</v>
      </c>
      <c r="W218" s="8" t="s">
        <v>129</v>
      </c>
      <c r="X218" s="8" t="s">
        <v>127</v>
      </c>
      <c r="Y218" s="13" t="s">
        <v>866</v>
      </c>
      <c r="Z218" s="20">
        <v>45744</v>
      </c>
      <c r="AA218" s="8">
        <v>0</v>
      </c>
    </row>
    <row r="219" spans="1:27" ht="15" customHeight="1" x14ac:dyDescent="0.2">
      <c r="A219" s="8">
        <v>218</v>
      </c>
      <c r="B219" s="8" t="s">
        <v>125</v>
      </c>
      <c r="C219" s="14">
        <v>45742</v>
      </c>
      <c r="D219" s="8" t="s">
        <v>66</v>
      </c>
      <c r="E219" s="8" t="s">
        <v>464</v>
      </c>
      <c r="F219" s="8" t="s">
        <v>111</v>
      </c>
      <c r="G219" s="8" t="s">
        <v>767</v>
      </c>
      <c r="H219" s="8" t="s">
        <v>381</v>
      </c>
      <c r="I219" s="8" t="s">
        <v>313</v>
      </c>
      <c r="K219" s="8">
        <v>16</v>
      </c>
      <c r="L219" s="8" t="s">
        <v>26</v>
      </c>
      <c r="O219" s="8" t="s">
        <v>125</v>
      </c>
      <c r="P219" s="13" t="s">
        <v>123</v>
      </c>
      <c r="Q219" s="21" t="s">
        <v>125</v>
      </c>
      <c r="R219" s="21" t="s">
        <v>126</v>
      </c>
      <c r="S219" s="21" t="s">
        <v>125</v>
      </c>
      <c r="T219" s="21" t="s">
        <v>128</v>
      </c>
      <c r="U219" s="20">
        <f t="shared" si="80"/>
        <v>45745</v>
      </c>
      <c r="V219" s="8" t="s">
        <v>125</v>
      </c>
      <c r="W219" s="8" t="s">
        <v>129</v>
      </c>
      <c r="X219" s="8" t="s">
        <v>127</v>
      </c>
      <c r="Y219" s="13" t="s">
        <v>867</v>
      </c>
      <c r="Z219" s="20">
        <v>45744</v>
      </c>
      <c r="AA219" s="8">
        <v>0</v>
      </c>
    </row>
    <row r="220" spans="1:27" ht="15" customHeight="1" x14ac:dyDescent="0.2">
      <c r="A220" s="8">
        <v>220</v>
      </c>
      <c r="B220" s="8" t="s">
        <v>125</v>
      </c>
      <c r="C220" s="14">
        <v>45742</v>
      </c>
      <c r="D220" s="8" t="s">
        <v>66</v>
      </c>
      <c r="E220" s="8" t="s">
        <v>652</v>
      </c>
      <c r="F220" s="8" t="s">
        <v>653</v>
      </c>
      <c r="G220" s="8" t="s">
        <v>808</v>
      </c>
      <c r="H220" s="8" t="s">
        <v>88</v>
      </c>
      <c r="I220" s="8" t="s">
        <v>27</v>
      </c>
      <c r="J220" s="8" t="s">
        <v>294</v>
      </c>
      <c r="K220" s="8">
        <v>340</v>
      </c>
      <c r="L220" s="8" t="s">
        <v>26</v>
      </c>
      <c r="O220" s="8" t="s">
        <v>870</v>
      </c>
      <c r="P220" s="13" t="s">
        <v>157</v>
      </c>
      <c r="Q220" s="21" t="s">
        <v>125</v>
      </c>
      <c r="R220" s="21" t="s">
        <v>126</v>
      </c>
      <c r="S220" s="21" t="s">
        <v>125</v>
      </c>
      <c r="T220" s="21" t="s">
        <v>128</v>
      </c>
      <c r="U220" s="20">
        <f t="shared" si="80"/>
        <v>45745</v>
      </c>
      <c r="V220" s="8" t="s">
        <v>125</v>
      </c>
      <c r="W220" s="8" t="s">
        <v>129</v>
      </c>
      <c r="X220" s="8" t="s">
        <v>127</v>
      </c>
      <c r="Y220" s="13" t="s">
        <v>868</v>
      </c>
      <c r="Z220" s="20">
        <v>45744</v>
      </c>
      <c r="AA220" s="8">
        <v>0</v>
      </c>
    </row>
    <row r="221" spans="1:27" ht="15" customHeight="1" x14ac:dyDescent="0.2">
      <c r="A221" s="8">
        <v>221</v>
      </c>
      <c r="B221" s="8">
        <v>8197</v>
      </c>
      <c r="C221" s="14">
        <v>45743</v>
      </c>
      <c r="D221" s="8" t="s">
        <v>191</v>
      </c>
      <c r="E221" s="8" t="s">
        <v>62</v>
      </c>
      <c r="F221" s="8" t="s">
        <v>747</v>
      </c>
      <c r="G221" s="8" t="s">
        <v>361</v>
      </c>
      <c r="H221" s="8" t="s">
        <v>824</v>
      </c>
      <c r="I221" s="8" t="s">
        <v>403</v>
      </c>
      <c r="J221" s="8">
        <v>10</v>
      </c>
      <c r="K221" s="8">
        <v>16</v>
      </c>
      <c r="L221" s="8" t="s">
        <v>404</v>
      </c>
      <c r="O221" s="8" t="s">
        <v>871</v>
      </c>
      <c r="P221" s="8" t="s">
        <v>115</v>
      </c>
      <c r="Q221" s="8" t="s">
        <v>130</v>
      </c>
      <c r="R221" s="8" t="s">
        <v>219</v>
      </c>
      <c r="S221" s="8" t="s">
        <v>129</v>
      </c>
      <c r="T221" s="8" t="s">
        <v>128</v>
      </c>
      <c r="U221" s="20">
        <v>45777</v>
      </c>
      <c r="V221" s="20">
        <v>45744</v>
      </c>
      <c r="W221" s="8" t="s">
        <v>129</v>
      </c>
      <c r="X221" s="8" t="str">
        <f t="shared" ref="X221:X223" si="81">G221&amp;AB$1&amp;O221</f>
        <v>SNEHA SHEKHAWAT/FSD/Exceedance/B737/25-03/44</v>
      </c>
      <c r="Y221" s="13" t="s">
        <v>869</v>
      </c>
      <c r="Z221" s="20">
        <v>45744</v>
      </c>
    </row>
    <row r="222" spans="1:27" ht="15" customHeight="1" x14ac:dyDescent="0.2">
      <c r="A222" s="8">
        <v>222</v>
      </c>
      <c r="B222" s="8">
        <v>8211</v>
      </c>
      <c r="C222" s="14">
        <v>45744</v>
      </c>
      <c r="D222" s="8" t="s">
        <v>66</v>
      </c>
      <c r="E222" s="8" t="s">
        <v>443</v>
      </c>
      <c r="F222" s="8" t="s">
        <v>872</v>
      </c>
      <c r="G222" s="8" t="s">
        <v>823</v>
      </c>
      <c r="H222" s="8" t="s">
        <v>873</v>
      </c>
      <c r="I222" s="8" t="s">
        <v>24</v>
      </c>
      <c r="J222" s="8">
        <v>1100</v>
      </c>
      <c r="K222" s="8">
        <v>1305</v>
      </c>
      <c r="L222" s="8" t="s">
        <v>25</v>
      </c>
      <c r="O222" s="8" t="s">
        <v>879</v>
      </c>
      <c r="P222" s="8" t="s">
        <v>115</v>
      </c>
      <c r="Q222" s="8" t="s">
        <v>130</v>
      </c>
      <c r="R222" s="8" t="s">
        <v>408</v>
      </c>
      <c r="S222" s="8" t="s">
        <v>129</v>
      </c>
      <c r="T222" s="8" t="s">
        <v>128</v>
      </c>
      <c r="U222" s="20">
        <v>45757</v>
      </c>
      <c r="V222" s="20">
        <v>45745</v>
      </c>
      <c r="W222" s="8" t="s">
        <v>129</v>
      </c>
      <c r="X222" s="8" t="str">
        <f t="shared" si="81"/>
        <v>ANEESH ATOORI/FSD/Exceedance/B737/25-03/45</v>
      </c>
      <c r="Y222" s="13" t="s">
        <v>881</v>
      </c>
      <c r="Z222" s="20">
        <v>45745</v>
      </c>
      <c r="AA222" s="8">
        <f t="shared" si="73"/>
        <v>12</v>
      </c>
    </row>
    <row r="223" spans="1:27" ht="15" customHeight="1" x14ac:dyDescent="0.2">
      <c r="A223" s="8">
        <v>223</v>
      </c>
      <c r="B223" s="8">
        <v>8212</v>
      </c>
      <c r="C223" s="14">
        <v>45744</v>
      </c>
      <c r="D223" s="8" t="s">
        <v>412</v>
      </c>
      <c r="E223" s="27" t="s">
        <v>874</v>
      </c>
      <c r="F223" s="8" t="s">
        <v>111</v>
      </c>
      <c r="G223" s="8" t="s">
        <v>147</v>
      </c>
      <c r="H223" s="8" t="s">
        <v>225</v>
      </c>
      <c r="I223" s="8" t="s">
        <v>24</v>
      </c>
      <c r="J223" s="8">
        <v>1100</v>
      </c>
      <c r="K223" s="8">
        <v>1248</v>
      </c>
      <c r="L223" s="8" t="s">
        <v>25</v>
      </c>
      <c r="O223" s="8" t="s">
        <v>880</v>
      </c>
      <c r="P223" s="8" t="s">
        <v>203</v>
      </c>
      <c r="Q223" s="8" t="s">
        <v>126</v>
      </c>
      <c r="R223" s="8" t="s">
        <v>219</v>
      </c>
      <c r="S223" s="8" t="s">
        <v>129</v>
      </c>
      <c r="T223" s="8" t="s">
        <v>128</v>
      </c>
      <c r="U223" s="20">
        <v>45748</v>
      </c>
      <c r="V223" s="20">
        <v>45745</v>
      </c>
      <c r="W223" s="8" t="s">
        <v>129</v>
      </c>
      <c r="X223" s="8" t="str">
        <f t="shared" si="81"/>
        <v>SANKET MAHESH MARULKAR/FSD/Exceedance/B737/25-03/46</v>
      </c>
      <c r="Y223" s="13" t="s">
        <v>882</v>
      </c>
      <c r="Z223" s="20">
        <v>45745</v>
      </c>
      <c r="AA223" s="8">
        <f t="shared" si="73"/>
        <v>3</v>
      </c>
    </row>
    <row r="224" spans="1:27" ht="15" customHeight="1" x14ac:dyDescent="0.2">
      <c r="A224" s="8">
        <v>224</v>
      </c>
      <c r="B224" s="8" t="s">
        <v>125</v>
      </c>
      <c r="C224" s="14">
        <v>45744</v>
      </c>
      <c r="D224" s="8" t="s">
        <v>168</v>
      </c>
      <c r="E224" s="8" t="s">
        <v>262</v>
      </c>
      <c r="F224" s="8" t="s">
        <v>263</v>
      </c>
      <c r="G224" s="8" t="s">
        <v>300</v>
      </c>
      <c r="H224" s="8" t="s">
        <v>375</v>
      </c>
      <c r="I224" s="8" t="s">
        <v>529</v>
      </c>
      <c r="J224" s="8" t="s">
        <v>532</v>
      </c>
      <c r="K224" s="8" t="s">
        <v>875</v>
      </c>
      <c r="L224" s="8" t="s">
        <v>42</v>
      </c>
      <c r="O224" s="8" t="s">
        <v>125</v>
      </c>
      <c r="P224" s="13" t="s">
        <v>123</v>
      </c>
      <c r="Q224" s="21" t="s">
        <v>125</v>
      </c>
      <c r="R224" s="21" t="s">
        <v>126</v>
      </c>
      <c r="S224" s="21" t="s">
        <v>125</v>
      </c>
      <c r="T224" s="21" t="s">
        <v>128</v>
      </c>
      <c r="U224" s="20">
        <f t="shared" ref="U224:U227" si="82">(Z224+1)</f>
        <v>45746</v>
      </c>
      <c r="V224" s="8" t="s">
        <v>125</v>
      </c>
      <c r="W224" s="8" t="s">
        <v>129</v>
      </c>
      <c r="X224" s="8" t="s">
        <v>127</v>
      </c>
      <c r="Y224" s="13" t="s">
        <v>883</v>
      </c>
      <c r="Z224" s="20">
        <v>45745</v>
      </c>
      <c r="AA224" s="8">
        <v>0</v>
      </c>
    </row>
    <row r="225" spans="1:27" ht="15" customHeight="1" x14ac:dyDescent="0.2">
      <c r="A225" s="8">
        <v>225</v>
      </c>
      <c r="B225" s="8" t="s">
        <v>125</v>
      </c>
      <c r="C225" s="14">
        <v>45744</v>
      </c>
      <c r="D225" s="8" t="s">
        <v>168</v>
      </c>
      <c r="E225" s="8" t="s">
        <v>520</v>
      </c>
      <c r="F225" s="8" t="s">
        <v>311</v>
      </c>
      <c r="G225" s="8" t="s">
        <v>300</v>
      </c>
      <c r="H225" s="8" t="s">
        <v>375</v>
      </c>
      <c r="I225" s="8" t="s">
        <v>313</v>
      </c>
      <c r="K225" s="8">
        <v>102</v>
      </c>
      <c r="L225" s="8" t="s">
        <v>26</v>
      </c>
      <c r="O225" s="8" t="s">
        <v>125</v>
      </c>
      <c r="P225" s="13" t="s">
        <v>123</v>
      </c>
      <c r="Q225" s="21" t="s">
        <v>126</v>
      </c>
      <c r="R225" s="21" t="s">
        <v>126</v>
      </c>
      <c r="S225" s="21" t="s">
        <v>125</v>
      </c>
      <c r="T225" s="21" t="s">
        <v>128</v>
      </c>
      <c r="U225" s="20">
        <f t="shared" si="82"/>
        <v>45746</v>
      </c>
      <c r="V225" s="8" t="s">
        <v>125</v>
      </c>
      <c r="W225" s="8" t="s">
        <v>129</v>
      </c>
      <c r="X225" s="8" t="s">
        <v>127</v>
      </c>
      <c r="Y225" s="13" t="s">
        <v>884</v>
      </c>
      <c r="Z225" s="20">
        <v>45745</v>
      </c>
      <c r="AA225" s="8">
        <v>0</v>
      </c>
    </row>
    <row r="226" spans="1:27" ht="15" customHeight="1" x14ac:dyDescent="0.2">
      <c r="A226" s="8">
        <v>226</v>
      </c>
      <c r="B226" s="8" t="s">
        <v>125</v>
      </c>
      <c r="C226" s="14">
        <v>45744</v>
      </c>
      <c r="D226" s="8" t="s">
        <v>168</v>
      </c>
      <c r="E226" s="8" t="s">
        <v>310</v>
      </c>
      <c r="F226" s="8" t="s">
        <v>311</v>
      </c>
      <c r="G226" s="8" t="s">
        <v>703</v>
      </c>
      <c r="H226" s="8" t="s">
        <v>876</v>
      </c>
      <c r="I226" s="8" t="s">
        <v>136</v>
      </c>
      <c r="J226" s="8" t="s">
        <v>137</v>
      </c>
      <c r="K226" s="8" t="s">
        <v>877</v>
      </c>
      <c r="L226" s="8" t="s">
        <v>42</v>
      </c>
      <c r="O226" s="8" t="s">
        <v>125</v>
      </c>
      <c r="P226" s="13" t="s">
        <v>123</v>
      </c>
      <c r="Q226" s="21" t="s">
        <v>125</v>
      </c>
      <c r="R226" s="21" t="s">
        <v>126</v>
      </c>
      <c r="S226" s="21" t="s">
        <v>125</v>
      </c>
      <c r="T226" s="21" t="s">
        <v>128</v>
      </c>
      <c r="U226" s="20">
        <f t="shared" si="82"/>
        <v>45746</v>
      </c>
      <c r="V226" s="8" t="s">
        <v>125</v>
      </c>
      <c r="W226" s="8" t="s">
        <v>129</v>
      </c>
      <c r="X226" s="8" t="s">
        <v>127</v>
      </c>
      <c r="Y226" s="13" t="s">
        <v>885</v>
      </c>
      <c r="Z226" s="20">
        <v>45745</v>
      </c>
      <c r="AA226" s="8">
        <v>0</v>
      </c>
    </row>
    <row r="227" spans="1:27" ht="15" customHeight="1" x14ac:dyDescent="0.2">
      <c r="A227" s="8">
        <v>227</v>
      </c>
      <c r="B227" s="8" t="s">
        <v>125</v>
      </c>
      <c r="C227" s="14">
        <v>45744</v>
      </c>
      <c r="D227" s="8" t="s">
        <v>168</v>
      </c>
      <c r="E227" s="8" t="s">
        <v>310</v>
      </c>
      <c r="F227" s="8" t="s">
        <v>311</v>
      </c>
      <c r="G227" s="8" t="s">
        <v>703</v>
      </c>
      <c r="H227" s="8" t="s">
        <v>876</v>
      </c>
      <c r="I227" s="8" t="s">
        <v>529</v>
      </c>
      <c r="J227" s="8" t="s">
        <v>532</v>
      </c>
      <c r="K227" s="8" t="s">
        <v>878</v>
      </c>
      <c r="L227" s="8" t="s">
        <v>42</v>
      </c>
      <c r="O227" s="8" t="s">
        <v>125</v>
      </c>
      <c r="P227" s="13" t="s">
        <v>123</v>
      </c>
      <c r="Q227" s="21" t="s">
        <v>125</v>
      </c>
      <c r="R227" s="21" t="s">
        <v>126</v>
      </c>
      <c r="S227" s="21" t="s">
        <v>125</v>
      </c>
      <c r="T227" s="21" t="s">
        <v>128</v>
      </c>
      <c r="U227" s="20">
        <f t="shared" si="82"/>
        <v>45746</v>
      </c>
      <c r="V227" s="8" t="s">
        <v>125</v>
      </c>
      <c r="W227" s="8" t="s">
        <v>129</v>
      </c>
      <c r="X227" s="8" t="s">
        <v>127</v>
      </c>
      <c r="Y227" s="13" t="s">
        <v>886</v>
      </c>
      <c r="Z227" s="20">
        <v>45745</v>
      </c>
      <c r="AA227" s="8">
        <v>0</v>
      </c>
    </row>
    <row r="228" spans="1:27" ht="15" customHeight="1" x14ac:dyDescent="0.2">
      <c r="A228" s="8">
        <v>229</v>
      </c>
      <c r="B228" s="8">
        <v>8233</v>
      </c>
      <c r="C228" s="14">
        <v>45743</v>
      </c>
      <c r="D228" s="13" t="s">
        <v>54</v>
      </c>
      <c r="E228" s="13" t="s">
        <v>910</v>
      </c>
      <c r="F228" s="8" t="s">
        <v>465</v>
      </c>
      <c r="G228" s="13" t="s">
        <v>714</v>
      </c>
      <c r="H228" s="13" t="s">
        <v>684</v>
      </c>
      <c r="I228" s="8" t="s">
        <v>261</v>
      </c>
      <c r="J228" s="8">
        <v>30</v>
      </c>
      <c r="K228" s="8">
        <v>31</v>
      </c>
      <c r="L228" s="8" t="s">
        <v>784</v>
      </c>
      <c r="O228" s="8" t="s">
        <v>909</v>
      </c>
      <c r="P228" s="4" t="s">
        <v>115</v>
      </c>
      <c r="Q228" s="8" t="s">
        <v>130</v>
      </c>
      <c r="R228" s="8" t="s">
        <v>219</v>
      </c>
      <c r="S228" s="8" t="s">
        <v>129</v>
      </c>
      <c r="T228" s="8" t="s">
        <v>1100</v>
      </c>
      <c r="U228" s="20">
        <v>45775</v>
      </c>
      <c r="V228" s="20">
        <v>45748</v>
      </c>
      <c r="W228" s="8" t="s">
        <v>129</v>
      </c>
      <c r="X228" s="8" t="str">
        <f t="shared" ref="X228:X229" si="83">G228&amp;AB$1&amp;O228</f>
        <v>NILESH KUMAR NONHARE/FSD/Exceedance/B737/25-03/47</v>
      </c>
      <c r="Y228" s="13" t="s">
        <v>911</v>
      </c>
      <c r="Z228" s="20">
        <v>45748</v>
      </c>
    </row>
    <row r="229" spans="1:27" ht="15" customHeight="1" x14ac:dyDescent="0.2">
      <c r="A229" s="8">
        <v>230</v>
      </c>
      <c r="B229" s="8">
        <v>8232</v>
      </c>
      <c r="C229" s="14">
        <v>45747</v>
      </c>
      <c r="D229" s="8" t="s">
        <v>256</v>
      </c>
      <c r="E229" s="8" t="s">
        <v>887</v>
      </c>
      <c r="F229" s="8" t="s">
        <v>888</v>
      </c>
      <c r="G229" s="8" t="s">
        <v>619</v>
      </c>
      <c r="H229" s="8" t="s">
        <v>190</v>
      </c>
      <c r="I229" s="8" t="s">
        <v>89</v>
      </c>
      <c r="J229" s="8" t="s">
        <v>889</v>
      </c>
      <c r="K229" s="8" t="s">
        <v>890</v>
      </c>
      <c r="L229" s="4" t="s">
        <v>42</v>
      </c>
      <c r="O229" s="8" t="s">
        <v>916</v>
      </c>
      <c r="P229" s="4" t="s">
        <v>115</v>
      </c>
      <c r="Q229" s="8" t="s">
        <v>130</v>
      </c>
      <c r="R229" s="8" t="s">
        <v>408</v>
      </c>
      <c r="S229" s="8" t="s">
        <v>129</v>
      </c>
      <c r="T229" s="8" t="s">
        <v>128</v>
      </c>
      <c r="U229" s="20">
        <v>45757</v>
      </c>
      <c r="V229" s="20">
        <v>45748</v>
      </c>
      <c r="W229" s="8" t="s">
        <v>129</v>
      </c>
      <c r="X229" s="8" t="str">
        <f t="shared" si="83"/>
        <v>MANAS CHATTERJEE/FSD/Exceedance/B737/25-03/48</v>
      </c>
      <c r="Y229" s="26" t="s">
        <v>901</v>
      </c>
      <c r="Z229" s="20">
        <v>45748</v>
      </c>
      <c r="AA229" s="8">
        <f t="shared" si="73"/>
        <v>9</v>
      </c>
    </row>
    <row r="230" spans="1:27" ht="15" customHeight="1" x14ac:dyDescent="0.2">
      <c r="A230" s="8">
        <v>231</v>
      </c>
      <c r="B230" s="8" t="s">
        <v>125</v>
      </c>
      <c r="C230" s="20">
        <v>45747</v>
      </c>
      <c r="D230" s="8" t="s">
        <v>256</v>
      </c>
      <c r="E230" s="8" t="s">
        <v>887</v>
      </c>
      <c r="F230" s="8" t="s">
        <v>888</v>
      </c>
      <c r="G230" s="8" t="s">
        <v>619</v>
      </c>
      <c r="H230" s="8" t="s">
        <v>190</v>
      </c>
      <c r="I230" s="8" t="s">
        <v>58</v>
      </c>
      <c r="J230" s="8">
        <v>1200</v>
      </c>
      <c r="K230" s="8">
        <v>1173</v>
      </c>
      <c r="L230" s="8" t="s">
        <v>26</v>
      </c>
      <c r="O230" s="8" t="s">
        <v>125</v>
      </c>
      <c r="P230" s="8" t="s">
        <v>123</v>
      </c>
      <c r="Q230" s="21" t="s">
        <v>125</v>
      </c>
      <c r="R230" s="21" t="s">
        <v>126</v>
      </c>
      <c r="S230" s="21" t="s">
        <v>125</v>
      </c>
      <c r="T230" s="21" t="s">
        <v>128</v>
      </c>
      <c r="U230" s="20">
        <f t="shared" ref="U230:U237" si="84">(Z230+1)</f>
        <v>45749</v>
      </c>
      <c r="V230" s="8" t="s">
        <v>125</v>
      </c>
      <c r="W230" s="8" t="s">
        <v>129</v>
      </c>
      <c r="X230" s="8" t="s">
        <v>127</v>
      </c>
      <c r="Y230" s="13" t="s">
        <v>905</v>
      </c>
      <c r="Z230" s="20">
        <v>45748</v>
      </c>
      <c r="AA230" s="8">
        <v>0</v>
      </c>
    </row>
    <row r="231" spans="1:27" ht="15" customHeight="1" x14ac:dyDescent="0.2">
      <c r="A231" s="8">
        <v>232</v>
      </c>
      <c r="B231" s="8" t="s">
        <v>125</v>
      </c>
      <c r="C231" s="14">
        <v>45745</v>
      </c>
      <c r="D231" s="8" t="s">
        <v>40</v>
      </c>
      <c r="E231" s="8" t="s">
        <v>891</v>
      </c>
      <c r="F231" s="8" t="s">
        <v>892</v>
      </c>
      <c r="G231" s="8" t="s">
        <v>134</v>
      </c>
      <c r="H231" s="8" t="s">
        <v>541</v>
      </c>
      <c r="I231" s="8" t="s">
        <v>136</v>
      </c>
      <c r="J231" s="8" t="s">
        <v>382</v>
      </c>
      <c r="K231" s="8" t="s">
        <v>893</v>
      </c>
      <c r="L231" s="8" t="s">
        <v>42</v>
      </c>
      <c r="O231" s="8" t="s">
        <v>125</v>
      </c>
      <c r="P231" s="8" t="s">
        <v>123</v>
      </c>
      <c r="Q231" s="21" t="s">
        <v>125</v>
      </c>
      <c r="R231" s="21" t="s">
        <v>126</v>
      </c>
      <c r="S231" s="21" t="s">
        <v>125</v>
      </c>
      <c r="T231" s="21" t="s">
        <v>128</v>
      </c>
      <c r="U231" s="20">
        <f t="shared" si="84"/>
        <v>45749</v>
      </c>
      <c r="V231" s="8" t="s">
        <v>125</v>
      </c>
      <c r="W231" s="8" t="s">
        <v>129</v>
      </c>
      <c r="X231" s="8" t="s">
        <v>127</v>
      </c>
      <c r="Y231" s="13" t="s">
        <v>902</v>
      </c>
      <c r="Z231" s="20">
        <v>45748</v>
      </c>
      <c r="AA231" s="8">
        <v>0</v>
      </c>
    </row>
    <row r="232" spans="1:27" ht="15" customHeight="1" x14ac:dyDescent="0.2">
      <c r="A232" s="8">
        <v>233</v>
      </c>
      <c r="B232" s="8" t="s">
        <v>125</v>
      </c>
      <c r="C232" s="14">
        <v>45744</v>
      </c>
      <c r="D232" s="8" t="s">
        <v>66</v>
      </c>
      <c r="E232" s="8" t="s">
        <v>548</v>
      </c>
      <c r="F232" s="8" t="s">
        <v>766</v>
      </c>
      <c r="G232" s="8" t="s">
        <v>378</v>
      </c>
      <c r="H232" s="8" t="s">
        <v>812</v>
      </c>
      <c r="I232" s="8" t="s">
        <v>57</v>
      </c>
      <c r="J232" s="8">
        <v>30</v>
      </c>
      <c r="K232" s="8">
        <v>31.1</v>
      </c>
      <c r="L232" s="8" t="s">
        <v>36</v>
      </c>
      <c r="O232" s="8" t="s">
        <v>125</v>
      </c>
      <c r="P232" s="8" t="s">
        <v>123</v>
      </c>
      <c r="Q232" s="21" t="s">
        <v>125</v>
      </c>
      <c r="R232" s="21" t="s">
        <v>126</v>
      </c>
      <c r="S232" s="21" t="s">
        <v>125</v>
      </c>
      <c r="T232" s="21" t="s">
        <v>128</v>
      </c>
      <c r="U232" s="20">
        <f t="shared" si="84"/>
        <v>45749</v>
      </c>
      <c r="V232" s="8" t="s">
        <v>125</v>
      </c>
      <c r="W232" s="8" t="s">
        <v>129</v>
      </c>
      <c r="X232" s="8" t="s">
        <v>127</v>
      </c>
      <c r="Y232" s="13" t="s">
        <v>903</v>
      </c>
      <c r="Z232" s="20">
        <v>45748</v>
      </c>
      <c r="AA232" s="8">
        <v>0</v>
      </c>
    </row>
    <row r="233" spans="1:27" ht="15" customHeight="1" x14ac:dyDescent="0.2">
      <c r="A233" s="8">
        <v>234</v>
      </c>
      <c r="B233" s="8" t="s">
        <v>125</v>
      </c>
      <c r="C233" s="20">
        <v>45746</v>
      </c>
      <c r="D233" s="8" t="s">
        <v>30</v>
      </c>
      <c r="E233" s="8" t="s">
        <v>894</v>
      </c>
      <c r="F233" s="8" t="s">
        <v>895</v>
      </c>
      <c r="G233" s="8" t="s">
        <v>252</v>
      </c>
      <c r="H233" s="8" t="s">
        <v>896</v>
      </c>
      <c r="I233" s="8" t="s">
        <v>24</v>
      </c>
      <c r="J233" s="8">
        <v>1050</v>
      </c>
      <c r="K233" s="8">
        <v>1120</v>
      </c>
      <c r="L233" s="8" t="s">
        <v>25</v>
      </c>
      <c r="O233" s="8" t="s">
        <v>125</v>
      </c>
      <c r="P233" s="8" t="s">
        <v>123</v>
      </c>
      <c r="Q233" s="21" t="s">
        <v>125</v>
      </c>
      <c r="R233" s="21" t="s">
        <v>126</v>
      </c>
      <c r="S233" s="21" t="s">
        <v>125</v>
      </c>
      <c r="T233" s="21" t="s">
        <v>128</v>
      </c>
      <c r="U233" s="20">
        <f t="shared" si="84"/>
        <v>45749</v>
      </c>
      <c r="V233" s="8" t="s">
        <v>125</v>
      </c>
      <c r="W233" s="8" t="s">
        <v>129</v>
      </c>
      <c r="X233" s="8" t="s">
        <v>127</v>
      </c>
      <c r="Y233" s="13" t="s">
        <v>904</v>
      </c>
      <c r="Z233" s="20">
        <v>45748</v>
      </c>
      <c r="AA233" s="8">
        <v>0</v>
      </c>
    </row>
    <row r="234" spans="1:27" ht="15" customHeight="1" x14ac:dyDescent="0.2">
      <c r="A234" s="8">
        <v>235</v>
      </c>
      <c r="B234" s="8" t="s">
        <v>125</v>
      </c>
      <c r="C234" s="14">
        <v>45743</v>
      </c>
      <c r="D234" s="8" t="s">
        <v>191</v>
      </c>
      <c r="E234" s="8" t="s">
        <v>62</v>
      </c>
      <c r="F234" s="8" t="s">
        <v>747</v>
      </c>
      <c r="G234" s="8" t="s">
        <v>361</v>
      </c>
      <c r="H234" s="8" t="s">
        <v>824</v>
      </c>
      <c r="I234" s="8" t="s">
        <v>391</v>
      </c>
      <c r="J234" s="8" t="s">
        <v>392</v>
      </c>
      <c r="K234" s="8" t="s">
        <v>692</v>
      </c>
      <c r="L234" s="8" t="s">
        <v>42</v>
      </c>
      <c r="O234" s="8" t="s">
        <v>125</v>
      </c>
      <c r="P234" s="8" t="s">
        <v>123</v>
      </c>
      <c r="Q234" s="21" t="s">
        <v>125</v>
      </c>
      <c r="R234" s="21" t="s">
        <v>126</v>
      </c>
      <c r="S234" s="21" t="s">
        <v>125</v>
      </c>
      <c r="T234" s="21" t="s">
        <v>128</v>
      </c>
      <c r="U234" s="20">
        <f t="shared" si="84"/>
        <v>45749</v>
      </c>
      <c r="V234" s="8" t="s">
        <v>125</v>
      </c>
      <c r="W234" s="8" t="s">
        <v>129</v>
      </c>
      <c r="X234" s="8" t="s">
        <v>127</v>
      </c>
      <c r="Y234" s="22" t="s">
        <v>906</v>
      </c>
      <c r="Z234" s="20">
        <v>45748</v>
      </c>
      <c r="AA234" s="8">
        <v>0</v>
      </c>
    </row>
    <row r="235" spans="1:27" ht="15" customHeight="1" x14ac:dyDescent="0.2">
      <c r="A235" s="8">
        <v>236</v>
      </c>
      <c r="B235" s="8" t="s">
        <v>125</v>
      </c>
      <c r="C235" s="20">
        <v>45746</v>
      </c>
      <c r="D235" s="8" t="s">
        <v>144</v>
      </c>
      <c r="E235" s="8" t="s">
        <v>897</v>
      </c>
      <c r="F235" s="8" t="s">
        <v>898</v>
      </c>
      <c r="G235" s="8" t="s">
        <v>493</v>
      </c>
      <c r="H235" s="8" t="s">
        <v>113</v>
      </c>
      <c r="I235" s="8" t="s">
        <v>391</v>
      </c>
      <c r="J235" s="8" t="s">
        <v>393</v>
      </c>
      <c r="K235" s="8" t="s">
        <v>858</v>
      </c>
      <c r="L235" s="8" t="s">
        <v>42</v>
      </c>
      <c r="O235" s="8" t="s">
        <v>125</v>
      </c>
      <c r="P235" s="8" t="s">
        <v>123</v>
      </c>
      <c r="Q235" s="21" t="s">
        <v>125</v>
      </c>
      <c r="R235" s="21" t="s">
        <v>126</v>
      </c>
      <c r="S235" s="21" t="s">
        <v>125</v>
      </c>
      <c r="T235" s="21" t="s">
        <v>128</v>
      </c>
      <c r="U235" s="20">
        <f t="shared" si="84"/>
        <v>45749</v>
      </c>
      <c r="V235" s="8" t="s">
        <v>125</v>
      </c>
      <c r="W235" s="8" t="s">
        <v>129</v>
      </c>
      <c r="X235" s="8" t="s">
        <v>127</v>
      </c>
      <c r="Y235" s="22" t="s">
        <v>907</v>
      </c>
      <c r="Z235" s="20">
        <v>45748</v>
      </c>
      <c r="AA235" s="8">
        <v>0</v>
      </c>
    </row>
    <row r="236" spans="1:27" ht="15" customHeight="1" x14ac:dyDescent="0.2">
      <c r="A236" s="8">
        <v>237</v>
      </c>
      <c r="B236" s="8" t="s">
        <v>125</v>
      </c>
      <c r="C236" s="14">
        <v>45745</v>
      </c>
      <c r="D236" s="8" t="s">
        <v>168</v>
      </c>
      <c r="E236" s="8" t="s">
        <v>762</v>
      </c>
      <c r="F236" s="8" t="s">
        <v>460</v>
      </c>
      <c r="G236" s="8" t="s">
        <v>899</v>
      </c>
      <c r="H236" s="8" t="s">
        <v>900</v>
      </c>
      <c r="I236" s="8" t="s">
        <v>196</v>
      </c>
      <c r="J236" s="8">
        <v>4</v>
      </c>
      <c r="K236" s="8">
        <v>4.2</v>
      </c>
      <c r="L236" s="8" t="s">
        <v>197</v>
      </c>
      <c r="O236" s="8" t="s">
        <v>125</v>
      </c>
      <c r="P236" s="8" t="s">
        <v>123</v>
      </c>
      <c r="Q236" s="21" t="s">
        <v>125</v>
      </c>
      <c r="R236" s="21" t="s">
        <v>126</v>
      </c>
      <c r="S236" s="21" t="s">
        <v>125</v>
      </c>
      <c r="T236" s="21" t="s">
        <v>128</v>
      </c>
      <c r="U236" s="20">
        <f t="shared" si="84"/>
        <v>45749</v>
      </c>
      <c r="V236" s="8" t="s">
        <v>125</v>
      </c>
      <c r="W236" s="8" t="s">
        <v>129</v>
      </c>
      <c r="X236" s="8" t="s">
        <v>127</v>
      </c>
      <c r="Y236" s="13" t="s">
        <v>908</v>
      </c>
      <c r="Z236" s="20">
        <v>45748</v>
      </c>
      <c r="AA236" s="8">
        <v>0</v>
      </c>
    </row>
    <row r="237" spans="1:27" ht="15" customHeight="1" x14ac:dyDescent="0.2">
      <c r="A237" s="8">
        <v>238</v>
      </c>
      <c r="B237" s="8" t="s">
        <v>125</v>
      </c>
      <c r="C237" s="9">
        <v>45748</v>
      </c>
      <c r="D237" s="8" t="s">
        <v>412</v>
      </c>
      <c r="E237" s="8" t="s">
        <v>913</v>
      </c>
      <c r="F237" s="8" t="s">
        <v>111</v>
      </c>
      <c r="G237" s="8" t="s">
        <v>763</v>
      </c>
      <c r="H237" s="8" t="s">
        <v>914</v>
      </c>
      <c r="I237" s="8" t="s">
        <v>313</v>
      </c>
      <c r="K237" s="8">
        <v>45</v>
      </c>
      <c r="L237" s="4" t="s">
        <v>26</v>
      </c>
      <c r="M237" s="4"/>
      <c r="O237" s="8" t="s">
        <v>125</v>
      </c>
      <c r="P237" s="4" t="s">
        <v>123</v>
      </c>
      <c r="Q237" s="8" t="s">
        <v>125</v>
      </c>
      <c r="R237" s="8" t="s">
        <v>126</v>
      </c>
      <c r="S237" s="8" t="s">
        <v>125</v>
      </c>
      <c r="T237" s="8" t="s">
        <v>128</v>
      </c>
      <c r="U237" s="20">
        <f t="shared" si="84"/>
        <v>45750</v>
      </c>
      <c r="V237" s="20" t="s">
        <v>125</v>
      </c>
      <c r="W237" s="8" t="s">
        <v>129</v>
      </c>
      <c r="X237" s="8" t="s">
        <v>127</v>
      </c>
      <c r="Y237" s="13" t="s">
        <v>915</v>
      </c>
      <c r="Z237" s="20">
        <v>45749</v>
      </c>
      <c r="AA237" s="8">
        <v>0</v>
      </c>
    </row>
    <row r="238" spans="1:27" ht="15" customHeight="1" x14ac:dyDescent="0.2">
      <c r="A238" s="8">
        <v>239</v>
      </c>
      <c r="B238" s="8">
        <v>8248</v>
      </c>
      <c r="C238" s="14">
        <v>45750</v>
      </c>
      <c r="D238" s="8" t="s">
        <v>168</v>
      </c>
      <c r="E238" s="8" t="s">
        <v>520</v>
      </c>
      <c r="F238" s="8" t="s">
        <v>311</v>
      </c>
      <c r="G238" s="8" t="s">
        <v>703</v>
      </c>
      <c r="H238" s="8" t="s">
        <v>876</v>
      </c>
      <c r="I238" s="8" t="s">
        <v>136</v>
      </c>
      <c r="J238" s="8" t="s">
        <v>532</v>
      </c>
      <c r="K238" s="8" t="s">
        <v>847</v>
      </c>
      <c r="L238" s="8" t="s">
        <v>42</v>
      </c>
      <c r="O238" s="8" t="s">
        <v>917</v>
      </c>
      <c r="P238" s="8" t="s">
        <v>115</v>
      </c>
      <c r="Q238" s="8" t="s">
        <v>130</v>
      </c>
      <c r="R238" s="8" t="s">
        <v>219</v>
      </c>
      <c r="S238" s="8" t="s">
        <v>129</v>
      </c>
      <c r="T238" s="8" t="s">
        <v>128</v>
      </c>
      <c r="U238" s="14">
        <v>45761</v>
      </c>
      <c r="V238" s="20">
        <v>45751</v>
      </c>
      <c r="W238" s="8" t="s">
        <v>129</v>
      </c>
      <c r="X238" s="8" t="str">
        <f t="shared" ref="X238:X239" si="85">G238&amp;AB$1&amp;O238</f>
        <v>DHRUV MITAL/FSD/Exceedance/B737/25-03/49</v>
      </c>
      <c r="Y238" s="13" t="s">
        <v>918</v>
      </c>
      <c r="Z238" s="20">
        <v>45751</v>
      </c>
    </row>
    <row r="239" spans="1:27" ht="15" customHeight="1" x14ac:dyDescent="0.2">
      <c r="A239" s="8">
        <v>240</v>
      </c>
      <c r="B239" s="8">
        <v>8249</v>
      </c>
      <c r="C239" s="12">
        <v>45749</v>
      </c>
      <c r="D239" s="13" t="s">
        <v>131</v>
      </c>
      <c r="E239" s="13" t="s">
        <v>198</v>
      </c>
      <c r="F239" s="13" t="s">
        <v>347</v>
      </c>
      <c r="G239" s="13" t="s">
        <v>147</v>
      </c>
      <c r="H239" s="13" t="s">
        <v>830</v>
      </c>
      <c r="I239" s="13" t="s">
        <v>715</v>
      </c>
      <c r="J239" s="13">
        <v>950</v>
      </c>
      <c r="K239" s="13">
        <v>952</v>
      </c>
      <c r="L239" s="13" t="s">
        <v>716</v>
      </c>
      <c r="O239" s="8" t="s">
        <v>919</v>
      </c>
      <c r="P239" s="8" t="s">
        <v>115</v>
      </c>
      <c r="Q239" s="8" t="s">
        <v>130</v>
      </c>
      <c r="R239" s="8" t="s">
        <v>219</v>
      </c>
      <c r="S239" s="8" t="s">
        <v>129</v>
      </c>
      <c r="T239" s="8" t="s">
        <v>128</v>
      </c>
      <c r="U239" s="14">
        <v>45754</v>
      </c>
      <c r="V239" s="20">
        <v>45751</v>
      </c>
      <c r="W239" s="8" t="s">
        <v>129</v>
      </c>
      <c r="X239" s="8" t="str">
        <f t="shared" si="85"/>
        <v>SANKET MAHESH MARULKAR/FSD/Exceedance/B737/25-03/50</v>
      </c>
      <c r="Y239" s="13" t="s">
        <v>920</v>
      </c>
      <c r="Z239" s="20">
        <v>45751</v>
      </c>
      <c r="AA239" s="8">
        <f t="shared" si="73"/>
        <v>3</v>
      </c>
    </row>
    <row r="240" spans="1:27" ht="15" customHeight="1" x14ac:dyDescent="0.2">
      <c r="A240" s="8">
        <v>241</v>
      </c>
      <c r="B240" s="8" t="s">
        <v>125</v>
      </c>
      <c r="C240" s="14">
        <v>45749</v>
      </c>
      <c r="D240" s="8" t="s">
        <v>54</v>
      </c>
      <c r="E240" s="8" t="s">
        <v>921</v>
      </c>
      <c r="F240" s="8" t="s">
        <v>922</v>
      </c>
      <c r="G240" s="8" t="s">
        <v>52</v>
      </c>
      <c r="H240" s="8" t="s">
        <v>873</v>
      </c>
      <c r="I240" s="8" t="s">
        <v>27</v>
      </c>
      <c r="J240" s="8" t="s">
        <v>28</v>
      </c>
      <c r="K240" s="8" t="s">
        <v>923</v>
      </c>
      <c r="L240" s="8" t="s">
        <v>26</v>
      </c>
      <c r="O240" s="8" t="s">
        <v>925</v>
      </c>
      <c r="P240" s="13" t="s">
        <v>157</v>
      </c>
      <c r="Q240" s="8" t="s">
        <v>125</v>
      </c>
      <c r="R240" s="8" t="s">
        <v>126</v>
      </c>
      <c r="S240" s="8" t="s">
        <v>125</v>
      </c>
      <c r="T240" s="8" t="s">
        <v>128</v>
      </c>
      <c r="U240" s="20">
        <f t="shared" ref="U240:U242" si="86">(Z240+1)</f>
        <v>45753</v>
      </c>
      <c r="V240" s="20" t="s">
        <v>125</v>
      </c>
      <c r="W240" s="8" t="s">
        <v>129</v>
      </c>
      <c r="X240" s="8" t="s">
        <v>127</v>
      </c>
      <c r="Y240" s="13" t="s">
        <v>924</v>
      </c>
      <c r="Z240" s="20">
        <v>45752</v>
      </c>
      <c r="AA240" s="8">
        <v>0</v>
      </c>
    </row>
    <row r="241" spans="1:27" ht="15" customHeight="1" x14ac:dyDescent="0.2">
      <c r="A241" s="8">
        <v>242</v>
      </c>
      <c r="B241" s="8" t="s">
        <v>125</v>
      </c>
      <c r="C241" s="14">
        <v>45751</v>
      </c>
      <c r="D241" s="8" t="s">
        <v>48</v>
      </c>
      <c r="E241" s="8" t="s">
        <v>384</v>
      </c>
      <c r="F241" s="8" t="s">
        <v>385</v>
      </c>
      <c r="G241" s="8" t="s">
        <v>420</v>
      </c>
      <c r="H241" s="8" t="s">
        <v>926</v>
      </c>
      <c r="I241" s="8" t="s">
        <v>27</v>
      </c>
      <c r="J241" s="8" t="s">
        <v>28</v>
      </c>
      <c r="K241" s="8" t="s">
        <v>927</v>
      </c>
      <c r="L241" s="8" t="s">
        <v>26</v>
      </c>
      <c r="O241" s="8" t="s">
        <v>931</v>
      </c>
      <c r="P241" s="4" t="s">
        <v>123</v>
      </c>
      <c r="Q241" s="8" t="s">
        <v>125</v>
      </c>
      <c r="R241" s="8" t="s">
        <v>126</v>
      </c>
      <c r="S241" s="8" t="s">
        <v>125</v>
      </c>
      <c r="T241" s="8" t="s">
        <v>128</v>
      </c>
      <c r="U241" s="20">
        <f t="shared" si="86"/>
        <v>45754</v>
      </c>
      <c r="V241" s="8" t="s">
        <v>125</v>
      </c>
      <c r="W241" s="8" t="s">
        <v>129</v>
      </c>
      <c r="X241" s="8" t="s">
        <v>127</v>
      </c>
      <c r="Y241" s="13" t="s">
        <v>929</v>
      </c>
      <c r="Z241" s="20">
        <v>45753</v>
      </c>
      <c r="AA241" s="8">
        <v>0</v>
      </c>
    </row>
    <row r="242" spans="1:27" ht="15" customHeight="1" x14ac:dyDescent="0.2">
      <c r="A242" s="8">
        <v>243</v>
      </c>
      <c r="B242" s="8" t="s">
        <v>125</v>
      </c>
      <c r="C242" s="14">
        <v>45751</v>
      </c>
      <c r="D242" s="8" t="s">
        <v>168</v>
      </c>
      <c r="E242" s="8" t="s">
        <v>520</v>
      </c>
      <c r="F242" s="8" t="s">
        <v>311</v>
      </c>
      <c r="G242" s="8" t="s">
        <v>647</v>
      </c>
      <c r="H242" s="8" t="s">
        <v>485</v>
      </c>
      <c r="I242" s="8" t="s">
        <v>27</v>
      </c>
      <c r="J242" s="8" t="s">
        <v>28</v>
      </c>
      <c r="K242" s="8" t="s">
        <v>928</v>
      </c>
      <c r="L242" s="4" t="s">
        <v>26</v>
      </c>
      <c r="O242" s="8" t="s">
        <v>932</v>
      </c>
      <c r="P242" s="13" t="s">
        <v>157</v>
      </c>
      <c r="Q242" s="8" t="s">
        <v>125</v>
      </c>
      <c r="R242" s="8" t="s">
        <v>126</v>
      </c>
      <c r="S242" s="8" t="s">
        <v>125</v>
      </c>
      <c r="T242" s="8" t="s">
        <v>128</v>
      </c>
      <c r="U242" s="20">
        <f t="shared" si="86"/>
        <v>45754</v>
      </c>
      <c r="V242" s="8" t="s">
        <v>125</v>
      </c>
      <c r="W242" s="8" t="s">
        <v>129</v>
      </c>
      <c r="X242" s="8" t="s">
        <v>127</v>
      </c>
      <c r="Y242" s="13" t="s">
        <v>930</v>
      </c>
      <c r="Z242" s="20">
        <v>45753</v>
      </c>
      <c r="AA242" s="8">
        <v>0</v>
      </c>
    </row>
    <row r="243" spans="1:27" ht="15" customHeight="1" x14ac:dyDescent="0.2">
      <c r="A243" s="8">
        <v>244</v>
      </c>
      <c r="B243" s="8">
        <v>8251</v>
      </c>
      <c r="C243" s="12">
        <v>45752</v>
      </c>
      <c r="D243" s="13" t="s">
        <v>48</v>
      </c>
      <c r="E243" s="13" t="s">
        <v>796</v>
      </c>
      <c r="F243" s="13" t="s">
        <v>797</v>
      </c>
      <c r="G243" s="13" t="s">
        <v>112</v>
      </c>
      <c r="H243" s="13" t="s">
        <v>152</v>
      </c>
      <c r="I243" s="28" t="s">
        <v>114</v>
      </c>
      <c r="J243" s="8">
        <v>1</v>
      </c>
      <c r="K243" s="8">
        <v>2</v>
      </c>
      <c r="L243" s="8" t="s">
        <v>34</v>
      </c>
      <c r="O243" s="8" t="s">
        <v>933</v>
      </c>
      <c r="P243" s="8" t="s">
        <v>115</v>
      </c>
      <c r="Q243" s="8" t="s">
        <v>130</v>
      </c>
      <c r="R243" s="8" t="s">
        <v>219</v>
      </c>
      <c r="S243" s="8" t="s">
        <v>129</v>
      </c>
      <c r="T243" s="8" t="s">
        <v>128</v>
      </c>
      <c r="U243" s="20">
        <v>45758</v>
      </c>
      <c r="V243" s="20">
        <v>45754</v>
      </c>
      <c r="W243" s="8" t="s">
        <v>129</v>
      </c>
      <c r="X243" s="8" t="str">
        <f t="shared" ref="X243" si="87">G243&amp;AB$1&amp;O243</f>
        <v>ANAND MURTHY TIWARI/FSD/Exceedance/B737/25-04/04</v>
      </c>
      <c r="Y243" s="13" t="s">
        <v>934</v>
      </c>
      <c r="Z243" s="20">
        <v>45754</v>
      </c>
      <c r="AA243" s="8">
        <f t="shared" si="73"/>
        <v>4</v>
      </c>
    </row>
    <row r="244" spans="1:27" ht="15" customHeight="1" x14ac:dyDescent="0.2">
      <c r="A244" s="8">
        <v>245</v>
      </c>
      <c r="B244" s="8" t="s">
        <v>125</v>
      </c>
      <c r="C244" s="12">
        <v>45747</v>
      </c>
      <c r="D244" s="13" t="s">
        <v>54</v>
      </c>
      <c r="E244" s="13" t="s">
        <v>935</v>
      </c>
      <c r="F244" s="13" t="s">
        <v>936</v>
      </c>
      <c r="G244" s="13" t="s">
        <v>334</v>
      </c>
      <c r="H244" s="13" t="s">
        <v>152</v>
      </c>
      <c r="I244" s="13" t="s">
        <v>57</v>
      </c>
      <c r="J244" s="8">
        <v>30</v>
      </c>
      <c r="K244" s="8">
        <v>31.3</v>
      </c>
      <c r="L244" s="8" t="s">
        <v>36</v>
      </c>
      <c r="O244" s="8" t="s">
        <v>125</v>
      </c>
      <c r="P244" s="8" t="s">
        <v>123</v>
      </c>
      <c r="Q244" s="8" t="s">
        <v>125</v>
      </c>
      <c r="R244" s="21" t="s">
        <v>126</v>
      </c>
      <c r="S244" s="8" t="s">
        <v>125</v>
      </c>
      <c r="T244" s="8" t="s">
        <v>128</v>
      </c>
      <c r="U244" s="20">
        <f t="shared" ref="U244:U247" si="88">(Z244+1)</f>
        <v>45755</v>
      </c>
      <c r="V244" s="20" t="s">
        <v>125</v>
      </c>
      <c r="W244" s="8" t="s">
        <v>129</v>
      </c>
      <c r="X244" s="8" t="s">
        <v>127</v>
      </c>
      <c r="Y244" s="13" t="s">
        <v>937</v>
      </c>
      <c r="Z244" s="20">
        <v>45754</v>
      </c>
      <c r="AA244" s="8">
        <v>0</v>
      </c>
    </row>
    <row r="245" spans="1:27" ht="15" customHeight="1" x14ac:dyDescent="0.2">
      <c r="A245" s="8">
        <v>246</v>
      </c>
      <c r="B245" s="8" t="s">
        <v>125</v>
      </c>
      <c r="C245" s="12">
        <v>45750</v>
      </c>
      <c r="D245" s="13" t="s">
        <v>168</v>
      </c>
      <c r="E245" s="13" t="s">
        <v>262</v>
      </c>
      <c r="F245" s="13" t="s">
        <v>263</v>
      </c>
      <c r="G245" s="13" t="s">
        <v>703</v>
      </c>
      <c r="H245" s="13" t="s">
        <v>876</v>
      </c>
      <c r="I245" s="13" t="s">
        <v>58</v>
      </c>
      <c r="J245" s="8">
        <v>1200</v>
      </c>
      <c r="K245" s="8">
        <v>1193</v>
      </c>
      <c r="L245" s="8" t="s">
        <v>26</v>
      </c>
      <c r="O245" s="8" t="s">
        <v>125</v>
      </c>
      <c r="P245" s="8" t="s">
        <v>123</v>
      </c>
      <c r="Q245" s="8" t="s">
        <v>125</v>
      </c>
      <c r="R245" s="21" t="s">
        <v>126</v>
      </c>
      <c r="S245" s="8" t="s">
        <v>125</v>
      </c>
      <c r="T245" s="8" t="s">
        <v>128</v>
      </c>
      <c r="U245" s="20">
        <f t="shared" si="88"/>
        <v>45755</v>
      </c>
      <c r="V245" s="20" t="s">
        <v>125</v>
      </c>
      <c r="W245" s="8" t="s">
        <v>129</v>
      </c>
      <c r="X245" s="8" t="s">
        <v>127</v>
      </c>
      <c r="Y245" s="13" t="s">
        <v>938</v>
      </c>
      <c r="Z245" s="20">
        <v>45754</v>
      </c>
      <c r="AA245" s="8">
        <v>0</v>
      </c>
    </row>
    <row r="246" spans="1:27" ht="15" customHeight="1" x14ac:dyDescent="0.2">
      <c r="A246" s="8">
        <v>247</v>
      </c>
      <c r="B246" s="8" t="s">
        <v>125</v>
      </c>
      <c r="C246" s="12">
        <v>45752</v>
      </c>
      <c r="D246" s="13" t="s">
        <v>48</v>
      </c>
      <c r="E246" s="13" t="s">
        <v>110</v>
      </c>
      <c r="F246" s="13" t="s">
        <v>857</v>
      </c>
      <c r="G246" s="13" t="s">
        <v>420</v>
      </c>
      <c r="H246" s="13" t="s">
        <v>926</v>
      </c>
      <c r="I246" s="13" t="s">
        <v>57</v>
      </c>
      <c r="J246" s="8">
        <v>30</v>
      </c>
      <c r="K246" s="8">
        <v>32.700000000000003</v>
      </c>
      <c r="L246" s="8" t="s">
        <v>36</v>
      </c>
      <c r="O246" s="8" t="s">
        <v>125</v>
      </c>
      <c r="P246" s="8" t="s">
        <v>123</v>
      </c>
      <c r="Q246" s="8" t="s">
        <v>125</v>
      </c>
      <c r="R246" s="21" t="s">
        <v>126</v>
      </c>
      <c r="S246" s="8" t="s">
        <v>125</v>
      </c>
      <c r="T246" s="8" t="s">
        <v>128</v>
      </c>
      <c r="U246" s="20">
        <f t="shared" si="88"/>
        <v>45755</v>
      </c>
      <c r="V246" s="20" t="s">
        <v>125</v>
      </c>
      <c r="W246" s="8" t="s">
        <v>129</v>
      </c>
      <c r="X246" s="8" t="s">
        <v>127</v>
      </c>
      <c r="Y246" s="13" t="s">
        <v>939</v>
      </c>
      <c r="Z246" s="20">
        <v>45754</v>
      </c>
      <c r="AA246" s="8">
        <v>0</v>
      </c>
    </row>
    <row r="247" spans="1:27" ht="15" customHeight="1" x14ac:dyDescent="0.2">
      <c r="A247" s="8">
        <v>248</v>
      </c>
      <c r="B247" s="8" t="s">
        <v>125</v>
      </c>
      <c r="C247" s="12">
        <v>45752</v>
      </c>
      <c r="D247" s="13" t="s">
        <v>412</v>
      </c>
      <c r="E247" s="13" t="s">
        <v>940</v>
      </c>
      <c r="F247" s="13" t="s">
        <v>299</v>
      </c>
      <c r="G247" s="13" t="s">
        <v>899</v>
      </c>
      <c r="H247" s="13" t="s">
        <v>379</v>
      </c>
      <c r="I247" s="13" t="s">
        <v>941</v>
      </c>
      <c r="J247" s="8">
        <v>265</v>
      </c>
      <c r="K247" s="8">
        <v>265.8</v>
      </c>
      <c r="L247" s="8" t="s">
        <v>42</v>
      </c>
      <c r="O247" s="8" t="s">
        <v>125</v>
      </c>
      <c r="P247" s="8" t="s">
        <v>123</v>
      </c>
      <c r="Q247" s="8" t="s">
        <v>125</v>
      </c>
      <c r="R247" s="21" t="s">
        <v>126</v>
      </c>
      <c r="S247" s="8" t="s">
        <v>125</v>
      </c>
      <c r="T247" s="8" t="s">
        <v>128</v>
      </c>
      <c r="U247" s="20">
        <f t="shared" si="88"/>
        <v>45755</v>
      </c>
      <c r="V247" s="20" t="s">
        <v>125</v>
      </c>
      <c r="W247" s="8" t="s">
        <v>129</v>
      </c>
      <c r="X247" s="8" t="s">
        <v>127</v>
      </c>
      <c r="Y247" s="13" t="s">
        <v>942</v>
      </c>
      <c r="Z247" s="20">
        <v>45754</v>
      </c>
      <c r="AA247" s="8">
        <v>0</v>
      </c>
    </row>
    <row r="248" spans="1:27" ht="15" customHeight="1" x14ac:dyDescent="0.2">
      <c r="A248" s="8">
        <v>249</v>
      </c>
      <c r="B248" s="8">
        <v>8259</v>
      </c>
      <c r="C248" s="14">
        <v>45754</v>
      </c>
      <c r="D248" s="8" t="s">
        <v>131</v>
      </c>
      <c r="E248" s="8" t="s">
        <v>943</v>
      </c>
      <c r="F248" s="8" t="s">
        <v>465</v>
      </c>
      <c r="G248" s="8" t="s">
        <v>303</v>
      </c>
      <c r="H248" s="8" t="s">
        <v>944</v>
      </c>
      <c r="I248" s="8" t="s">
        <v>715</v>
      </c>
      <c r="J248" s="8">
        <v>950</v>
      </c>
      <c r="K248" s="8">
        <v>963</v>
      </c>
      <c r="L248" s="8" t="s">
        <v>716</v>
      </c>
      <c r="O248" s="8" t="s">
        <v>945</v>
      </c>
      <c r="P248" s="8" t="s">
        <v>203</v>
      </c>
      <c r="Q248" s="8" t="s">
        <v>130</v>
      </c>
      <c r="R248" s="8" t="s">
        <v>219</v>
      </c>
      <c r="S248" s="8" t="s">
        <v>129</v>
      </c>
      <c r="T248" s="8" t="s">
        <v>128</v>
      </c>
      <c r="U248" s="14">
        <v>45758</v>
      </c>
      <c r="V248" s="20">
        <v>45755</v>
      </c>
      <c r="W248" s="8" t="s">
        <v>129</v>
      </c>
      <c r="X248" s="8" t="str">
        <f t="shared" ref="X248:X250" si="89">G248&amp;AB$1&amp;O248</f>
        <v>AMALENDU/FSD/Exceedance/B737/25-04/05</v>
      </c>
      <c r="Y248" s="13" t="s">
        <v>946</v>
      </c>
      <c r="Z248" s="20">
        <v>45755</v>
      </c>
      <c r="AA248" s="8">
        <f t="shared" si="73"/>
        <v>3</v>
      </c>
    </row>
    <row r="249" spans="1:27" ht="15" customHeight="1" x14ac:dyDescent="0.2">
      <c r="A249" s="8">
        <v>250</v>
      </c>
      <c r="B249" s="8">
        <v>8260</v>
      </c>
      <c r="C249" s="14">
        <v>45754</v>
      </c>
      <c r="D249" s="8" t="s">
        <v>191</v>
      </c>
      <c r="E249" s="8" t="s">
        <v>198</v>
      </c>
      <c r="F249" s="8" t="s">
        <v>857</v>
      </c>
      <c r="G249" s="8" t="s">
        <v>947</v>
      </c>
      <c r="H249" s="13" t="s">
        <v>948</v>
      </c>
      <c r="I249" s="8" t="s">
        <v>715</v>
      </c>
      <c r="J249" s="8">
        <v>950</v>
      </c>
      <c r="K249" s="8">
        <v>973</v>
      </c>
      <c r="L249" s="8" t="s">
        <v>716</v>
      </c>
      <c r="O249" s="8" t="s">
        <v>949</v>
      </c>
      <c r="P249" s="8" t="s">
        <v>115</v>
      </c>
      <c r="Q249" s="8" t="s">
        <v>130</v>
      </c>
      <c r="R249" s="8" t="s">
        <v>219</v>
      </c>
      <c r="S249" s="8" t="s">
        <v>129</v>
      </c>
      <c r="T249" s="8" t="s">
        <v>128</v>
      </c>
      <c r="U249" s="20">
        <v>45758</v>
      </c>
      <c r="V249" s="20">
        <v>45755</v>
      </c>
      <c r="W249" s="8" t="s">
        <v>129</v>
      </c>
      <c r="X249" s="8" t="str">
        <f t="shared" si="89"/>
        <v>ANUBHAV KUMAR/FSD/Exceedance/B737/25-04/06</v>
      </c>
      <c r="Y249" s="13" t="s">
        <v>950</v>
      </c>
      <c r="Z249" s="20">
        <v>45755</v>
      </c>
      <c r="AA249" s="8">
        <f t="shared" si="73"/>
        <v>3</v>
      </c>
    </row>
    <row r="250" spans="1:27" ht="15" customHeight="1" x14ac:dyDescent="0.2">
      <c r="A250" s="8">
        <v>251</v>
      </c>
      <c r="B250" s="8">
        <v>8261</v>
      </c>
      <c r="C250" s="14">
        <v>45754</v>
      </c>
      <c r="D250" s="8" t="s">
        <v>191</v>
      </c>
      <c r="E250" s="8" t="s">
        <v>553</v>
      </c>
      <c r="F250" s="8" t="s">
        <v>951</v>
      </c>
      <c r="G250" s="8" t="s">
        <v>952</v>
      </c>
      <c r="H250" s="8" t="s">
        <v>337</v>
      </c>
      <c r="I250" s="8" t="s">
        <v>715</v>
      </c>
      <c r="J250" s="8">
        <v>950</v>
      </c>
      <c r="K250" s="8">
        <v>961</v>
      </c>
      <c r="L250" s="8" t="s">
        <v>716</v>
      </c>
      <c r="O250" s="8" t="s">
        <v>953</v>
      </c>
      <c r="P250" s="8" t="s">
        <v>115</v>
      </c>
      <c r="Q250" s="8" t="s">
        <v>130</v>
      </c>
      <c r="R250" s="8" t="s">
        <v>219</v>
      </c>
      <c r="S250" s="8" t="s">
        <v>129</v>
      </c>
      <c r="T250" s="8" t="s">
        <v>128</v>
      </c>
      <c r="U250" s="14">
        <v>45758</v>
      </c>
      <c r="V250" s="20">
        <v>45755</v>
      </c>
      <c r="W250" s="8" t="s">
        <v>129</v>
      </c>
      <c r="X250" s="8" t="str">
        <f t="shared" si="89"/>
        <v>ABHIJEET ARUN BHOSALE/FSD/Exceedance/B737/25-04/07</v>
      </c>
      <c r="Y250" s="13" t="s">
        <v>954</v>
      </c>
      <c r="Z250" s="20">
        <v>45755</v>
      </c>
      <c r="AA250" s="8">
        <f t="shared" si="73"/>
        <v>3</v>
      </c>
    </row>
    <row r="251" spans="1:27" ht="15" customHeight="1" x14ac:dyDescent="0.2">
      <c r="A251" s="8">
        <v>252</v>
      </c>
      <c r="B251" s="8">
        <v>8262</v>
      </c>
      <c r="C251" s="14">
        <v>45754</v>
      </c>
      <c r="D251" s="8" t="s">
        <v>191</v>
      </c>
      <c r="E251" s="8" t="s">
        <v>955</v>
      </c>
      <c r="F251" s="8" t="s">
        <v>956</v>
      </c>
      <c r="G251" s="8" t="s">
        <v>952</v>
      </c>
      <c r="H251" s="8" t="s">
        <v>337</v>
      </c>
      <c r="I251" s="8" t="s">
        <v>715</v>
      </c>
      <c r="J251" s="8">
        <v>950</v>
      </c>
      <c r="K251" s="8">
        <v>971</v>
      </c>
      <c r="L251" s="8" t="s">
        <v>716</v>
      </c>
      <c r="O251" s="8" t="s">
        <v>957</v>
      </c>
      <c r="P251" s="8" t="s">
        <v>115</v>
      </c>
      <c r="Q251" s="8" t="s">
        <v>130</v>
      </c>
      <c r="R251" s="8" t="s">
        <v>219</v>
      </c>
      <c r="S251" s="8" t="s">
        <v>129</v>
      </c>
      <c r="T251" s="8" t="s">
        <v>128</v>
      </c>
      <c r="U251" s="14">
        <v>45775</v>
      </c>
      <c r="V251" s="20">
        <v>45755</v>
      </c>
      <c r="W251" s="8" t="s">
        <v>129</v>
      </c>
      <c r="X251" s="8" t="str">
        <f t="shared" ref="X251:X256" si="90">G251&amp;AB$1&amp;O251</f>
        <v>ABHIJEET ARUN BHOSALE/FSD/Exceedance/B737/25-04/08</v>
      </c>
      <c r="Y251" s="13" t="s">
        <v>958</v>
      </c>
      <c r="Z251" s="20">
        <v>45755</v>
      </c>
    </row>
    <row r="252" spans="1:27" ht="15" customHeight="1" x14ac:dyDescent="0.2">
      <c r="A252" s="8">
        <v>253</v>
      </c>
      <c r="B252" s="8" t="s">
        <v>125</v>
      </c>
      <c r="C252" s="14">
        <v>45754</v>
      </c>
      <c r="D252" s="8" t="s">
        <v>131</v>
      </c>
      <c r="E252" s="8" t="s">
        <v>959</v>
      </c>
      <c r="F252" s="8" t="s">
        <v>111</v>
      </c>
      <c r="G252" s="8" t="s">
        <v>222</v>
      </c>
      <c r="H252" s="8" t="s">
        <v>167</v>
      </c>
      <c r="I252" s="8" t="s">
        <v>24</v>
      </c>
      <c r="J252" s="8">
        <v>1050</v>
      </c>
      <c r="K252" s="8">
        <v>1095</v>
      </c>
      <c r="L252" s="8" t="s">
        <v>25</v>
      </c>
      <c r="O252" s="8" t="s">
        <v>125</v>
      </c>
      <c r="P252" s="8" t="s">
        <v>123</v>
      </c>
      <c r="Q252" s="8" t="s">
        <v>125</v>
      </c>
      <c r="R252" s="21" t="s">
        <v>126</v>
      </c>
      <c r="S252" s="8" t="s">
        <v>125</v>
      </c>
      <c r="T252" s="8" t="s">
        <v>128</v>
      </c>
      <c r="U252" s="20">
        <f t="shared" ref="U252" si="91">(Z252+1)</f>
        <v>45756</v>
      </c>
      <c r="V252" s="20" t="s">
        <v>125</v>
      </c>
      <c r="W252" s="8" t="s">
        <v>129</v>
      </c>
      <c r="X252" s="8" t="s">
        <v>127</v>
      </c>
      <c r="Y252" s="13" t="s">
        <v>960</v>
      </c>
      <c r="Z252" s="20">
        <v>45755</v>
      </c>
      <c r="AA252" s="8">
        <v>0</v>
      </c>
    </row>
    <row r="253" spans="1:27" ht="15" customHeight="1" x14ac:dyDescent="0.2">
      <c r="A253" s="8">
        <v>254</v>
      </c>
      <c r="B253" s="8">
        <v>8278</v>
      </c>
      <c r="C253" s="12">
        <v>45755</v>
      </c>
      <c r="D253" s="8" t="s">
        <v>191</v>
      </c>
      <c r="E253" s="13" t="s">
        <v>145</v>
      </c>
      <c r="F253" s="13" t="s">
        <v>146</v>
      </c>
      <c r="G253" s="13" t="s">
        <v>619</v>
      </c>
      <c r="H253" s="13" t="s">
        <v>961</v>
      </c>
      <c r="I253" s="8" t="s">
        <v>24</v>
      </c>
      <c r="J253" s="8">
        <v>1100</v>
      </c>
      <c r="K253" s="8">
        <v>1170</v>
      </c>
      <c r="L253" s="8" t="s">
        <v>25</v>
      </c>
      <c r="O253" s="8" t="s">
        <v>968</v>
      </c>
      <c r="P253" s="8" t="s">
        <v>115</v>
      </c>
      <c r="Q253" s="8" t="s">
        <v>130</v>
      </c>
      <c r="R253" s="8" t="s">
        <v>408</v>
      </c>
      <c r="S253" s="8" t="s">
        <v>129</v>
      </c>
      <c r="T253" s="8" t="s">
        <v>128</v>
      </c>
      <c r="U253" s="20">
        <v>45772</v>
      </c>
      <c r="V253" s="20">
        <v>45756</v>
      </c>
      <c r="W253" s="8" t="s">
        <v>129</v>
      </c>
      <c r="X253" s="8" t="str">
        <f t="shared" si="90"/>
        <v>MANAS CHATTERJEE/FSD/Exceedance/B737/25-04/09</v>
      </c>
      <c r="Y253" s="13" t="s">
        <v>974</v>
      </c>
      <c r="Z253" s="20">
        <v>45756</v>
      </c>
    </row>
    <row r="254" spans="1:27" ht="15" customHeight="1" x14ac:dyDescent="0.2">
      <c r="A254" s="8">
        <v>255</v>
      </c>
      <c r="B254" s="8" t="s">
        <v>125</v>
      </c>
      <c r="C254" s="12">
        <v>45755</v>
      </c>
      <c r="D254" s="8" t="s">
        <v>191</v>
      </c>
      <c r="E254" s="13" t="s">
        <v>145</v>
      </c>
      <c r="F254" s="13" t="s">
        <v>146</v>
      </c>
      <c r="G254" s="13" t="s">
        <v>619</v>
      </c>
      <c r="H254" s="13" t="s">
        <v>961</v>
      </c>
      <c r="I254" s="8" t="s">
        <v>78</v>
      </c>
      <c r="J254" s="8">
        <v>2</v>
      </c>
      <c r="K254" s="8">
        <v>2.085</v>
      </c>
      <c r="L254" s="8" t="s">
        <v>79</v>
      </c>
      <c r="O254" s="8" t="s">
        <v>968</v>
      </c>
      <c r="P254" s="8" t="s">
        <v>123</v>
      </c>
      <c r="Q254" s="8" t="s">
        <v>125</v>
      </c>
      <c r="R254" s="8" t="s">
        <v>408</v>
      </c>
      <c r="S254" s="8" t="s">
        <v>125</v>
      </c>
      <c r="T254" s="8" t="s">
        <v>1199</v>
      </c>
      <c r="U254" s="20">
        <v>45772</v>
      </c>
      <c r="V254" s="20">
        <v>45756</v>
      </c>
      <c r="W254" s="8" t="s">
        <v>129</v>
      </c>
      <c r="X254" s="8" t="str">
        <f t="shared" si="90"/>
        <v>MANAS CHATTERJEE/FSD/Exceedance/B737/25-04/09</v>
      </c>
      <c r="Y254" s="13" t="s">
        <v>975</v>
      </c>
      <c r="Z254" s="20">
        <v>45756</v>
      </c>
      <c r="AA254" s="8">
        <v>0</v>
      </c>
    </row>
    <row r="255" spans="1:27" ht="15" customHeight="1" x14ac:dyDescent="0.2">
      <c r="A255" s="8">
        <v>256</v>
      </c>
      <c r="B255" s="8">
        <v>8280</v>
      </c>
      <c r="C255" s="12">
        <v>45755</v>
      </c>
      <c r="D255" s="8" t="s">
        <v>144</v>
      </c>
      <c r="E255" s="8" t="s">
        <v>894</v>
      </c>
      <c r="F255" s="8" t="s">
        <v>895</v>
      </c>
      <c r="G255" s="8" t="s">
        <v>962</v>
      </c>
      <c r="H255" s="8" t="s">
        <v>184</v>
      </c>
      <c r="I255" s="8" t="s">
        <v>24</v>
      </c>
      <c r="J255" s="8">
        <v>1100</v>
      </c>
      <c r="K255" s="8">
        <v>1185</v>
      </c>
      <c r="L255" s="8" t="s">
        <v>25</v>
      </c>
      <c r="O255" s="8" t="s">
        <v>969</v>
      </c>
      <c r="P255" s="8" t="s">
        <v>115</v>
      </c>
      <c r="Q255" s="8" t="s">
        <v>130</v>
      </c>
      <c r="R255" s="8" t="s">
        <v>219</v>
      </c>
      <c r="S255" s="8" t="s">
        <v>129</v>
      </c>
      <c r="T255" s="8" t="s">
        <v>128</v>
      </c>
      <c r="U255" s="20">
        <v>45758</v>
      </c>
      <c r="V255" s="20">
        <v>45756</v>
      </c>
      <c r="W255" s="8" t="s">
        <v>129</v>
      </c>
      <c r="X255" s="8" t="str">
        <f t="shared" si="90"/>
        <v>SOUMYA SIVA GHOSH/FSD/Exceedance/B737/25-04/10</v>
      </c>
      <c r="Y255" s="13" t="s">
        <v>976</v>
      </c>
      <c r="Z255" s="20">
        <v>45756</v>
      </c>
      <c r="AA255" s="8">
        <f t="shared" si="73"/>
        <v>2</v>
      </c>
    </row>
    <row r="256" spans="1:27" ht="15" customHeight="1" x14ac:dyDescent="0.2">
      <c r="A256" s="8">
        <v>257</v>
      </c>
      <c r="B256" s="8">
        <v>8281</v>
      </c>
      <c r="C256" s="12">
        <v>45755</v>
      </c>
      <c r="D256" s="8" t="s">
        <v>48</v>
      </c>
      <c r="E256" s="8" t="s">
        <v>110</v>
      </c>
      <c r="F256" s="8" t="s">
        <v>857</v>
      </c>
      <c r="G256" s="8" t="s">
        <v>829</v>
      </c>
      <c r="H256" s="8" t="s">
        <v>170</v>
      </c>
      <c r="I256" s="8" t="s">
        <v>24</v>
      </c>
      <c r="J256" s="8">
        <v>1100</v>
      </c>
      <c r="K256" s="8">
        <v>1350</v>
      </c>
      <c r="L256" s="8" t="s">
        <v>25</v>
      </c>
      <c r="O256" s="8" t="s">
        <v>970</v>
      </c>
      <c r="P256" s="8" t="s">
        <v>203</v>
      </c>
      <c r="Q256" s="8" t="s">
        <v>126</v>
      </c>
      <c r="R256" s="8" t="s">
        <v>408</v>
      </c>
      <c r="S256" s="8" t="s">
        <v>129</v>
      </c>
      <c r="T256" s="8" t="s">
        <v>1199</v>
      </c>
      <c r="U256" s="14">
        <v>45761</v>
      </c>
      <c r="V256" s="20">
        <v>45756</v>
      </c>
      <c r="W256" s="8" t="s">
        <v>129</v>
      </c>
      <c r="X256" s="8" t="str">
        <f t="shared" si="90"/>
        <v>PUNEET SHARMA/FSD/Exceedance/B737/25-04/11</v>
      </c>
      <c r="Y256" s="13" t="s">
        <v>977</v>
      </c>
      <c r="Z256" s="20">
        <v>45756</v>
      </c>
    </row>
    <row r="257" spans="1:27" ht="15" customHeight="1" x14ac:dyDescent="0.2">
      <c r="A257" s="8">
        <v>258</v>
      </c>
      <c r="B257" s="8" t="s">
        <v>125</v>
      </c>
      <c r="C257" s="12">
        <v>45755</v>
      </c>
      <c r="D257" s="8" t="s">
        <v>48</v>
      </c>
      <c r="E257" s="8" t="s">
        <v>110</v>
      </c>
      <c r="F257" s="8" t="s">
        <v>857</v>
      </c>
      <c r="G257" s="8" t="s">
        <v>829</v>
      </c>
      <c r="H257" s="13" t="s">
        <v>170</v>
      </c>
      <c r="I257" s="8" t="s">
        <v>27</v>
      </c>
      <c r="J257" s="8" t="s">
        <v>28</v>
      </c>
      <c r="K257" s="8">
        <v>1005</v>
      </c>
      <c r="L257" s="8" t="s">
        <v>26</v>
      </c>
      <c r="O257" s="8" t="s">
        <v>970</v>
      </c>
      <c r="P257" s="13" t="s">
        <v>157</v>
      </c>
      <c r="Q257" s="8" t="s">
        <v>125</v>
      </c>
      <c r="R257" s="8" t="s">
        <v>126</v>
      </c>
      <c r="S257" s="8" t="s">
        <v>125</v>
      </c>
      <c r="T257" s="8" t="s">
        <v>128</v>
      </c>
      <c r="U257" s="20">
        <f t="shared" ref="U257:U262" si="92">(Z257+1)</f>
        <v>45757</v>
      </c>
      <c r="V257" s="8" t="s">
        <v>125</v>
      </c>
      <c r="W257" s="8" t="s">
        <v>129</v>
      </c>
      <c r="X257" s="8" t="s">
        <v>127</v>
      </c>
      <c r="Y257" s="13" t="s">
        <v>978</v>
      </c>
      <c r="Z257" s="20">
        <v>45756</v>
      </c>
      <c r="AA257" s="8">
        <v>0</v>
      </c>
    </row>
    <row r="258" spans="1:27" ht="15" customHeight="1" x14ac:dyDescent="0.2">
      <c r="A258" s="8">
        <v>259</v>
      </c>
      <c r="B258" s="8" t="s">
        <v>125</v>
      </c>
      <c r="C258" s="12">
        <v>45755</v>
      </c>
      <c r="D258" s="8" t="s">
        <v>168</v>
      </c>
      <c r="E258" s="8" t="s">
        <v>963</v>
      </c>
      <c r="F258" s="13" t="s">
        <v>964</v>
      </c>
      <c r="G258" s="13" t="s">
        <v>587</v>
      </c>
      <c r="H258" s="13" t="s">
        <v>325</v>
      </c>
      <c r="I258" s="8" t="s">
        <v>27</v>
      </c>
      <c r="J258" s="8" t="s">
        <v>28</v>
      </c>
      <c r="K258" s="8">
        <v>1183</v>
      </c>
      <c r="L258" s="8" t="s">
        <v>26</v>
      </c>
      <c r="O258" s="8" t="s">
        <v>971</v>
      </c>
      <c r="P258" s="8" t="s">
        <v>123</v>
      </c>
      <c r="Q258" s="8" t="s">
        <v>125</v>
      </c>
      <c r="R258" s="21" t="s">
        <v>126</v>
      </c>
      <c r="S258" s="8" t="s">
        <v>125</v>
      </c>
      <c r="T258" s="8" t="s">
        <v>128</v>
      </c>
      <c r="U258" s="20">
        <f t="shared" si="92"/>
        <v>45757</v>
      </c>
      <c r="V258" s="8" t="s">
        <v>125</v>
      </c>
      <c r="W258" s="8" t="s">
        <v>129</v>
      </c>
      <c r="X258" s="8" t="s">
        <v>127</v>
      </c>
      <c r="Y258" s="13" t="s">
        <v>979</v>
      </c>
      <c r="Z258" s="20">
        <v>45756</v>
      </c>
      <c r="AA258" s="8">
        <v>0</v>
      </c>
    </row>
    <row r="259" spans="1:27" ht="15" customHeight="1" x14ac:dyDescent="0.2">
      <c r="A259" s="8">
        <v>260</v>
      </c>
      <c r="B259" s="8" t="s">
        <v>125</v>
      </c>
      <c r="C259" s="12">
        <v>45755</v>
      </c>
      <c r="D259" s="8" t="s">
        <v>168</v>
      </c>
      <c r="E259" s="13" t="s">
        <v>265</v>
      </c>
      <c r="F259" s="13" t="s">
        <v>263</v>
      </c>
      <c r="G259" s="13" t="s">
        <v>312</v>
      </c>
      <c r="H259" s="13" t="s">
        <v>301</v>
      </c>
      <c r="I259" s="8" t="s">
        <v>27</v>
      </c>
      <c r="J259" s="8" t="s">
        <v>28</v>
      </c>
      <c r="K259" s="8">
        <v>1148</v>
      </c>
      <c r="L259" s="8" t="s">
        <v>26</v>
      </c>
      <c r="O259" s="8" t="s">
        <v>972</v>
      </c>
      <c r="P259" s="8" t="s">
        <v>123</v>
      </c>
      <c r="Q259" s="8" t="s">
        <v>125</v>
      </c>
      <c r="R259" s="21" t="s">
        <v>126</v>
      </c>
      <c r="S259" s="8" t="s">
        <v>125</v>
      </c>
      <c r="T259" s="8" t="s">
        <v>128</v>
      </c>
      <c r="U259" s="20">
        <f t="shared" si="92"/>
        <v>45757</v>
      </c>
      <c r="V259" s="8" t="s">
        <v>125</v>
      </c>
      <c r="W259" s="8" t="s">
        <v>129</v>
      </c>
      <c r="X259" s="8" t="s">
        <v>127</v>
      </c>
      <c r="Y259" s="13" t="s">
        <v>980</v>
      </c>
      <c r="Z259" s="20">
        <v>45756</v>
      </c>
      <c r="AA259" s="8">
        <v>0</v>
      </c>
    </row>
    <row r="260" spans="1:27" ht="15" customHeight="1" x14ac:dyDescent="0.2">
      <c r="A260" s="8">
        <v>261</v>
      </c>
      <c r="B260" s="8" t="s">
        <v>125</v>
      </c>
      <c r="C260" s="14">
        <v>45754</v>
      </c>
      <c r="D260" s="8" t="s">
        <v>131</v>
      </c>
      <c r="E260" s="8" t="s">
        <v>965</v>
      </c>
      <c r="F260" s="8" t="s">
        <v>315</v>
      </c>
      <c r="G260" s="8" t="s">
        <v>420</v>
      </c>
      <c r="H260" s="8" t="s">
        <v>966</v>
      </c>
      <c r="I260" s="8" t="s">
        <v>136</v>
      </c>
      <c r="J260" s="8" t="s">
        <v>137</v>
      </c>
      <c r="K260" s="8" t="s">
        <v>967</v>
      </c>
      <c r="L260" s="8" t="s">
        <v>25</v>
      </c>
      <c r="O260" s="8" t="s">
        <v>125</v>
      </c>
      <c r="P260" s="8" t="s">
        <v>123</v>
      </c>
      <c r="Q260" s="8" t="s">
        <v>125</v>
      </c>
      <c r="R260" s="21" t="s">
        <v>126</v>
      </c>
      <c r="S260" s="8" t="s">
        <v>125</v>
      </c>
      <c r="T260" s="8" t="s">
        <v>128</v>
      </c>
      <c r="U260" s="20">
        <f t="shared" si="92"/>
        <v>45757</v>
      </c>
      <c r="V260" s="8" t="s">
        <v>125</v>
      </c>
      <c r="W260" s="8" t="s">
        <v>129</v>
      </c>
      <c r="X260" s="8" t="s">
        <v>127</v>
      </c>
      <c r="Y260" s="13" t="s">
        <v>981</v>
      </c>
      <c r="Z260" s="20">
        <v>45756</v>
      </c>
      <c r="AA260" s="8">
        <v>0</v>
      </c>
    </row>
    <row r="261" spans="1:27" ht="15" customHeight="1" x14ac:dyDescent="0.2">
      <c r="A261" s="8">
        <v>262</v>
      </c>
      <c r="B261" s="8" t="s">
        <v>125</v>
      </c>
      <c r="C261" s="12">
        <v>45755</v>
      </c>
      <c r="D261" s="8" t="s">
        <v>131</v>
      </c>
      <c r="E261" s="13" t="s">
        <v>959</v>
      </c>
      <c r="F261" s="13" t="s">
        <v>111</v>
      </c>
      <c r="G261" s="13" t="s">
        <v>493</v>
      </c>
      <c r="H261" s="13" t="s">
        <v>538</v>
      </c>
      <c r="I261" s="8" t="s">
        <v>27</v>
      </c>
      <c r="J261" s="8" t="s">
        <v>28</v>
      </c>
      <c r="K261" s="8">
        <v>6227</v>
      </c>
      <c r="L261" s="8" t="s">
        <v>26</v>
      </c>
      <c r="O261" s="8" t="s">
        <v>973</v>
      </c>
      <c r="P261" s="13" t="s">
        <v>157</v>
      </c>
      <c r="Q261" s="8" t="s">
        <v>125</v>
      </c>
      <c r="R261" s="8" t="s">
        <v>126</v>
      </c>
      <c r="S261" s="8" t="s">
        <v>125</v>
      </c>
      <c r="T261" s="8" t="s">
        <v>128</v>
      </c>
      <c r="U261" s="20">
        <f t="shared" si="92"/>
        <v>45757</v>
      </c>
      <c r="V261" s="8" t="s">
        <v>125</v>
      </c>
      <c r="W261" s="8" t="s">
        <v>129</v>
      </c>
      <c r="X261" s="8" t="s">
        <v>127</v>
      </c>
      <c r="Y261" s="13" t="s">
        <v>982</v>
      </c>
      <c r="Z261" s="20">
        <v>45756</v>
      </c>
      <c r="AA261" s="8">
        <v>0</v>
      </c>
    </row>
    <row r="262" spans="1:27" ht="15" customHeight="1" x14ac:dyDescent="0.2">
      <c r="A262" s="8">
        <v>263</v>
      </c>
      <c r="B262" s="8" t="s">
        <v>125</v>
      </c>
      <c r="C262" s="12">
        <v>45755</v>
      </c>
      <c r="D262" s="13" t="s">
        <v>54</v>
      </c>
      <c r="E262" s="13" t="s">
        <v>921</v>
      </c>
      <c r="F262" s="13" t="s">
        <v>922</v>
      </c>
      <c r="G262" s="13" t="s">
        <v>334</v>
      </c>
      <c r="H262" s="13" t="s">
        <v>812</v>
      </c>
      <c r="I262" s="8" t="s">
        <v>57</v>
      </c>
      <c r="J262" s="8">
        <v>30</v>
      </c>
      <c r="K262" s="8">
        <v>31.1</v>
      </c>
      <c r="L262" s="8" t="s">
        <v>36</v>
      </c>
      <c r="O262" s="8" t="s">
        <v>125</v>
      </c>
      <c r="P262" s="8" t="s">
        <v>123</v>
      </c>
      <c r="Q262" s="8" t="s">
        <v>125</v>
      </c>
      <c r="R262" s="21" t="s">
        <v>126</v>
      </c>
      <c r="S262" s="8" t="s">
        <v>125</v>
      </c>
      <c r="T262" s="8" t="s">
        <v>128</v>
      </c>
      <c r="U262" s="20">
        <f t="shared" si="92"/>
        <v>45757</v>
      </c>
      <c r="V262" s="8" t="s">
        <v>125</v>
      </c>
      <c r="W262" s="8" t="s">
        <v>129</v>
      </c>
      <c r="X262" s="8" t="s">
        <v>127</v>
      </c>
      <c r="Y262" s="13" t="s">
        <v>983</v>
      </c>
      <c r="Z262" s="20">
        <v>45756</v>
      </c>
      <c r="AA262" s="8">
        <v>0</v>
      </c>
    </row>
    <row r="263" spans="1:27" ht="15" customHeight="1" x14ac:dyDescent="0.2">
      <c r="A263" s="8">
        <v>264</v>
      </c>
      <c r="B263" s="8">
        <v>8286</v>
      </c>
      <c r="C263" s="12">
        <v>45756</v>
      </c>
      <c r="D263" s="8" t="s">
        <v>191</v>
      </c>
      <c r="E263" s="29" t="s">
        <v>94</v>
      </c>
      <c r="F263" s="13" t="s">
        <v>95</v>
      </c>
      <c r="G263" s="13" t="s">
        <v>768</v>
      </c>
      <c r="H263" s="13" t="s">
        <v>741</v>
      </c>
      <c r="I263" s="8" t="s">
        <v>232</v>
      </c>
      <c r="J263" s="8">
        <v>3000</v>
      </c>
      <c r="K263" s="8">
        <v>3294</v>
      </c>
      <c r="L263" s="8" t="s">
        <v>26</v>
      </c>
      <c r="O263" s="8" t="s">
        <v>985</v>
      </c>
      <c r="P263" s="8" t="s">
        <v>115</v>
      </c>
      <c r="Q263" s="8" t="s">
        <v>130</v>
      </c>
      <c r="R263" s="8" t="s">
        <v>408</v>
      </c>
      <c r="S263" s="8" t="s">
        <v>129</v>
      </c>
      <c r="T263" s="8" t="s">
        <v>128</v>
      </c>
      <c r="U263" s="20">
        <v>45775</v>
      </c>
      <c r="V263" s="20">
        <v>45758</v>
      </c>
      <c r="W263" s="8" t="s">
        <v>129</v>
      </c>
      <c r="X263" s="8" t="str">
        <f t="shared" ref="X263:X264" si="93">G263&amp;AB$1&amp;O263</f>
        <v>NEENA SINGH/FSD/Exceedance/B737/25-04/16</v>
      </c>
      <c r="Y263" s="13" t="s">
        <v>986</v>
      </c>
      <c r="Z263" s="20">
        <v>45758</v>
      </c>
    </row>
    <row r="264" spans="1:27" ht="15" customHeight="1" x14ac:dyDescent="0.2">
      <c r="A264" s="8">
        <v>265</v>
      </c>
      <c r="B264" s="8">
        <v>8287</v>
      </c>
      <c r="C264" s="12">
        <v>45756</v>
      </c>
      <c r="D264" s="8" t="s">
        <v>48</v>
      </c>
      <c r="E264" s="8" t="s">
        <v>987</v>
      </c>
      <c r="F264" s="8" t="s">
        <v>146</v>
      </c>
      <c r="G264" s="8" t="s">
        <v>222</v>
      </c>
      <c r="H264" s="8" t="s">
        <v>433</v>
      </c>
      <c r="I264" s="8" t="s">
        <v>988</v>
      </c>
      <c r="K264" s="8">
        <v>218</v>
      </c>
      <c r="L264" s="8" t="s">
        <v>26</v>
      </c>
      <c r="O264" s="8" t="s">
        <v>989</v>
      </c>
      <c r="P264" s="8" t="s">
        <v>115</v>
      </c>
      <c r="Q264" s="8" t="s">
        <v>130</v>
      </c>
      <c r="R264" s="8" t="s">
        <v>219</v>
      </c>
      <c r="S264" s="8" t="s">
        <v>129</v>
      </c>
      <c r="T264" s="8" t="s">
        <v>128</v>
      </c>
      <c r="U264" s="20">
        <v>45763</v>
      </c>
      <c r="V264" s="20">
        <v>45758</v>
      </c>
      <c r="W264" s="8" t="s">
        <v>129</v>
      </c>
      <c r="X264" s="8" t="str">
        <f t="shared" si="93"/>
        <v>RASHMI SHARMA/FSD/Exceedance/B737/25-04/17</v>
      </c>
      <c r="Y264" s="13" t="s">
        <v>990</v>
      </c>
      <c r="Z264" s="20">
        <v>45758</v>
      </c>
    </row>
    <row r="265" spans="1:27" ht="15" customHeight="1" x14ac:dyDescent="0.2">
      <c r="A265" s="8">
        <v>266</v>
      </c>
      <c r="B265" s="8" t="s">
        <v>125</v>
      </c>
      <c r="C265" s="12">
        <v>45757</v>
      </c>
      <c r="D265" s="8" t="s">
        <v>48</v>
      </c>
      <c r="E265" s="8" t="s">
        <v>434</v>
      </c>
      <c r="F265" s="8" t="s">
        <v>487</v>
      </c>
      <c r="G265" s="8" t="s">
        <v>735</v>
      </c>
      <c r="H265" s="13" t="s">
        <v>420</v>
      </c>
      <c r="I265" s="8" t="s">
        <v>27</v>
      </c>
      <c r="J265" s="8" t="s">
        <v>28</v>
      </c>
      <c r="K265" s="8">
        <v>301</v>
      </c>
      <c r="L265" s="8" t="s">
        <v>26</v>
      </c>
      <c r="O265" s="8" t="s">
        <v>991</v>
      </c>
      <c r="P265" s="8" t="s">
        <v>123</v>
      </c>
      <c r="Q265" s="8" t="s">
        <v>125</v>
      </c>
      <c r="R265" s="8" t="s">
        <v>126</v>
      </c>
      <c r="S265" s="8" t="s">
        <v>125</v>
      </c>
      <c r="T265" s="8" t="s">
        <v>128</v>
      </c>
      <c r="U265" s="20">
        <f t="shared" ref="U265:U267" si="94">(Z265+1)</f>
        <v>45759</v>
      </c>
      <c r="V265" s="8" t="s">
        <v>125</v>
      </c>
      <c r="W265" s="8" t="s">
        <v>129</v>
      </c>
      <c r="X265" s="8" t="s">
        <v>127</v>
      </c>
      <c r="Y265" s="13" t="s">
        <v>992</v>
      </c>
      <c r="Z265" s="20">
        <v>45758</v>
      </c>
      <c r="AA265" s="8">
        <v>0</v>
      </c>
    </row>
    <row r="266" spans="1:27" ht="15" customHeight="1" x14ac:dyDescent="0.2">
      <c r="A266" s="8">
        <v>267</v>
      </c>
      <c r="B266" s="8" t="s">
        <v>125</v>
      </c>
      <c r="C266" s="12">
        <v>45757</v>
      </c>
      <c r="D266" s="8" t="s">
        <v>48</v>
      </c>
      <c r="E266" s="8" t="s">
        <v>434</v>
      </c>
      <c r="F266" s="8" t="s">
        <v>487</v>
      </c>
      <c r="G266" s="8" t="s">
        <v>735</v>
      </c>
      <c r="H266" s="8" t="s">
        <v>420</v>
      </c>
      <c r="I266" s="8" t="s">
        <v>313</v>
      </c>
      <c r="K266" s="8">
        <v>129</v>
      </c>
      <c r="L266" s="8" t="s">
        <v>26</v>
      </c>
      <c r="O266" s="8" t="s">
        <v>125</v>
      </c>
      <c r="P266" s="8" t="s">
        <v>123</v>
      </c>
      <c r="Q266" s="8" t="s">
        <v>125</v>
      </c>
      <c r="R266" s="21" t="s">
        <v>126</v>
      </c>
      <c r="S266" s="8" t="s">
        <v>125</v>
      </c>
      <c r="T266" s="8" t="s">
        <v>128</v>
      </c>
      <c r="U266" s="20">
        <f t="shared" si="94"/>
        <v>45759</v>
      </c>
      <c r="V266" s="8" t="s">
        <v>125</v>
      </c>
      <c r="W266" s="8" t="s">
        <v>129</v>
      </c>
      <c r="X266" s="8" t="s">
        <v>127</v>
      </c>
      <c r="Y266" s="13" t="s">
        <v>993</v>
      </c>
      <c r="Z266" s="20">
        <v>45758</v>
      </c>
      <c r="AA266" s="8">
        <v>0</v>
      </c>
    </row>
    <row r="267" spans="1:27" ht="15" customHeight="1" x14ac:dyDescent="0.2">
      <c r="A267" s="8">
        <v>268</v>
      </c>
      <c r="B267" s="8" t="s">
        <v>125</v>
      </c>
      <c r="C267" s="12">
        <v>45757</v>
      </c>
      <c r="D267" s="8" t="s">
        <v>48</v>
      </c>
      <c r="E267" s="8" t="s">
        <v>943</v>
      </c>
      <c r="F267" s="13" t="s">
        <v>465</v>
      </c>
      <c r="G267" s="13" t="s">
        <v>420</v>
      </c>
      <c r="H267" s="13" t="s">
        <v>751</v>
      </c>
      <c r="I267" s="8" t="s">
        <v>313</v>
      </c>
      <c r="K267" s="8">
        <v>85</v>
      </c>
      <c r="L267" s="8" t="s">
        <v>26</v>
      </c>
      <c r="O267" s="8" t="s">
        <v>125</v>
      </c>
      <c r="P267" s="8" t="s">
        <v>123</v>
      </c>
      <c r="Q267" s="8" t="s">
        <v>125</v>
      </c>
      <c r="R267" s="21" t="s">
        <v>126</v>
      </c>
      <c r="S267" s="8" t="s">
        <v>125</v>
      </c>
      <c r="T267" s="8" t="s">
        <v>128</v>
      </c>
      <c r="U267" s="20">
        <f t="shared" si="94"/>
        <v>45759</v>
      </c>
      <c r="V267" s="8" t="s">
        <v>125</v>
      </c>
      <c r="W267" s="8" t="s">
        <v>129</v>
      </c>
      <c r="X267" s="8" t="s">
        <v>127</v>
      </c>
      <c r="Y267" s="13" t="s">
        <v>994</v>
      </c>
      <c r="Z267" s="20">
        <v>45758</v>
      </c>
      <c r="AA267" s="8">
        <v>0</v>
      </c>
    </row>
    <row r="268" spans="1:27" ht="15" customHeight="1" x14ac:dyDescent="0.2">
      <c r="A268" s="8">
        <v>269</v>
      </c>
      <c r="B268" s="8">
        <v>8298</v>
      </c>
      <c r="C268" s="14">
        <v>45758</v>
      </c>
      <c r="D268" s="8" t="s">
        <v>168</v>
      </c>
      <c r="E268" s="8" t="s">
        <v>439</v>
      </c>
      <c r="F268" s="8" t="s">
        <v>995</v>
      </c>
      <c r="G268" s="8" t="s">
        <v>374</v>
      </c>
      <c r="H268" s="8" t="s">
        <v>104</v>
      </c>
      <c r="I268" s="8" t="s">
        <v>996</v>
      </c>
      <c r="K268" s="8">
        <v>1</v>
      </c>
      <c r="L268" s="4" t="s">
        <v>404</v>
      </c>
      <c r="O268" s="8" t="s">
        <v>1000</v>
      </c>
      <c r="P268" s="13" t="s">
        <v>203</v>
      </c>
      <c r="Q268" s="8" t="s">
        <v>126</v>
      </c>
      <c r="R268" s="8" t="s">
        <v>219</v>
      </c>
      <c r="S268" s="8" t="s">
        <v>129</v>
      </c>
      <c r="T268" s="8" t="s">
        <v>1199</v>
      </c>
      <c r="U268" s="20">
        <v>45761</v>
      </c>
      <c r="V268" s="20">
        <v>45759</v>
      </c>
      <c r="W268" s="8" t="s">
        <v>129</v>
      </c>
      <c r="X268" s="8" t="str">
        <f t="shared" ref="X268" si="95">G268&amp;AB$1&amp;O268</f>
        <v>HIMANI SAREEN/FSD/Exceedance/B737/25-04/19</v>
      </c>
      <c r="Y268" s="13" t="s">
        <v>998</v>
      </c>
      <c r="Z268" s="20">
        <v>45759</v>
      </c>
    </row>
    <row r="269" spans="1:27" ht="15" customHeight="1" x14ac:dyDescent="0.2">
      <c r="A269" s="8">
        <v>270</v>
      </c>
      <c r="B269" s="8" t="s">
        <v>125</v>
      </c>
      <c r="C269" s="14">
        <v>45758</v>
      </c>
      <c r="D269" s="8" t="s">
        <v>66</v>
      </c>
      <c r="E269" s="8" t="s">
        <v>997</v>
      </c>
      <c r="F269" s="8" t="s">
        <v>411</v>
      </c>
      <c r="G269" s="8" t="s">
        <v>300</v>
      </c>
      <c r="H269" s="8" t="s">
        <v>824</v>
      </c>
      <c r="I269" s="8" t="s">
        <v>27</v>
      </c>
      <c r="J269" s="8" t="s">
        <v>294</v>
      </c>
      <c r="K269" s="8">
        <v>1403</v>
      </c>
      <c r="L269" s="4" t="s">
        <v>26</v>
      </c>
      <c r="O269" s="8" t="s">
        <v>1001</v>
      </c>
      <c r="P269" s="8" t="s">
        <v>123</v>
      </c>
      <c r="Q269" s="8" t="s">
        <v>125</v>
      </c>
      <c r="R269" s="21" t="s">
        <v>126</v>
      </c>
      <c r="S269" s="8" t="s">
        <v>125</v>
      </c>
      <c r="T269" s="8" t="s">
        <v>128</v>
      </c>
      <c r="U269" s="20">
        <f t="shared" ref="U269:U273" si="96">(Z269+1)</f>
        <v>45760</v>
      </c>
      <c r="V269" s="8" t="s">
        <v>125</v>
      </c>
      <c r="W269" s="8" t="s">
        <v>129</v>
      </c>
      <c r="X269" s="8" t="s">
        <v>127</v>
      </c>
      <c r="Y269" s="30" t="s">
        <v>999</v>
      </c>
      <c r="Z269" s="20">
        <v>45759</v>
      </c>
      <c r="AA269" s="8">
        <v>0</v>
      </c>
    </row>
    <row r="270" spans="1:27" ht="15" customHeight="1" x14ac:dyDescent="0.2">
      <c r="A270" s="8">
        <v>272</v>
      </c>
      <c r="B270" s="8" t="s">
        <v>125</v>
      </c>
      <c r="C270" s="14">
        <v>45757</v>
      </c>
      <c r="D270" s="8" t="s">
        <v>66</v>
      </c>
      <c r="E270" s="8" t="s">
        <v>384</v>
      </c>
      <c r="F270" s="8" t="s">
        <v>385</v>
      </c>
      <c r="G270" s="8" t="s">
        <v>222</v>
      </c>
      <c r="H270" s="8" t="s">
        <v>433</v>
      </c>
      <c r="I270" s="8" t="s">
        <v>57</v>
      </c>
      <c r="J270" s="8">
        <v>30</v>
      </c>
      <c r="K270" s="8">
        <v>31.5</v>
      </c>
      <c r="L270" s="8" t="s">
        <v>271</v>
      </c>
      <c r="O270" s="8" t="s">
        <v>125</v>
      </c>
      <c r="P270" s="8" t="s">
        <v>123</v>
      </c>
      <c r="Q270" s="8" t="s">
        <v>125</v>
      </c>
      <c r="R270" s="21" t="s">
        <v>126</v>
      </c>
      <c r="S270" s="8" t="s">
        <v>125</v>
      </c>
      <c r="T270" s="8" t="s">
        <v>128</v>
      </c>
      <c r="U270" s="20">
        <f t="shared" si="96"/>
        <v>45762</v>
      </c>
      <c r="V270" s="8" t="s">
        <v>125</v>
      </c>
      <c r="W270" s="8" t="s">
        <v>129</v>
      </c>
      <c r="X270" s="8" t="s">
        <v>127</v>
      </c>
      <c r="Y270" s="13" t="s">
        <v>1004</v>
      </c>
      <c r="Z270" s="20">
        <v>45761</v>
      </c>
    </row>
    <row r="271" spans="1:27" ht="15" customHeight="1" x14ac:dyDescent="0.2">
      <c r="A271" s="8">
        <v>273</v>
      </c>
      <c r="B271" s="8" t="s">
        <v>125</v>
      </c>
      <c r="C271" s="14">
        <v>45758</v>
      </c>
      <c r="D271" s="8" t="s">
        <v>66</v>
      </c>
      <c r="E271" s="8" t="s">
        <v>997</v>
      </c>
      <c r="F271" s="8" t="s">
        <v>1002</v>
      </c>
      <c r="G271" s="8" t="s">
        <v>300</v>
      </c>
      <c r="H271" s="8" t="s">
        <v>824</v>
      </c>
      <c r="I271" s="8" t="s">
        <v>57</v>
      </c>
      <c r="J271" s="8">
        <v>30</v>
      </c>
      <c r="K271" s="8">
        <v>33</v>
      </c>
      <c r="L271" s="8" t="s">
        <v>271</v>
      </c>
      <c r="O271" s="8" t="s">
        <v>125</v>
      </c>
      <c r="P271" s="8" t="s">
        <v>123</v>
      </c>
      <c r="Q271" s="8" t="s">
        <v>125</v>
      </c>
      <c r="R271" s="21" t="s">
        <v>126</v>
      </c>
      <c r="S271" s="8" t="s">
        <v>125</v>
      </c>
      <c r="T271" s="8" t="s">
        <v>128</v>
      </c>
      <c r="U271" s="20">
        <f t="shared" si="96"/>
        <v>45762</v>
      </c>
      <c r="V271" s="8" t="s">
        <v>125</v>
      </c>
      <c r="W271" s="8" t="s">
        <v>129</v>
      </c>
      <c r="X271" s="8" t="s">
        <v>127</v>
      </c>
      <c r="Y271" s="13" t="s">
        <v>1005</v>
      </c>
      <c r="Z271" s="20">
        <v>45761</v>
      </c>
    </row>
    <row r="272" spans="1:27" ht="15" customHeight="1" x14ac:dyDescent="0.2">
      <c r="A272" s="8">
        <v>274</v>
      </c>
      <c r="B272" s="8" t="s">
        <v>125</v>
      </c>
      <c r="C272" s="14">
        <v>45759</v>
      </c>
      <c r="D272" s="8" t="s">
        <v>168</v>
      </c>
      <c r="E272" s="8" t="s">
        <v>310</v>
      </c>
      <c r="F272" s="8" t="s">
        <v>311</v>
      </c>
      <c r="G272" s="8" t="s">
        <v>151</v>
      </c>
      <c r="H272" s="8" t="s">
        <v>365</v>
      </c>
      <c r="I272" s="8" t="s">
        <v>1003</v>
      </c>
      <c r="J272" s="8">
        <v>20</v>
      </c>
      <c r="K272" s="8">
        <v>21.4</v>
      </c>
      <c r="L272" s="8" t="s">
        <v>271</v>
      </c>
      <c r="O272" s="8" t="s">
        <v>125</v>
      </c>
      <c r="P272" s="8" t="s">
        <v>123</v>
      </c>
      <c r="Q272" s="8" t="s">
        <v>125</v>
      </c>
      <c r="R272" s="21" t="s">
        <v>126</v>
      </c>
      <c r="S272" s="8" t="s">
        <v>125</v>
      </c>
      <c r="T272" s="8" t="s">
        <v>128</v>
      </c>
      <c r="U272" s="20">
        <f t="shared" si="96"/>
        <v>45762</v>
      </c>
      <c r="V272" s="8" t="s">
        <v>125</v>
      </c>
      <c r="W272" s="8" t="s">
        <v>129</v>
      </c>
      <c r="X272" s="8" t="s">
        <v>127</v>
      </c>
      <c r="Y272" s="13" t="s">
        <v>1006</v>
      </c>
      <c r="Z272" s="20">
        <v>45761</v>
      </c>
    </row>
    <row r="273" spans="1:26" ht="15" customHeight="1" x14ac:dyDescent="0.2">
      <c r="A273" s="8">
        <v>275</v>
      </c>
      <c r="B273" s="8" t="s">
        <v>125</v>
      </c>
      <c r="C273" s="14">
        <v>45759</v>
      </c>
      <c r="D273" s="8" t="s">
        <v>48</v>
      </c>
      <c r="E273" s="8" t="s">
        <v>959</v>
      </c>
      <c r="F273" s="8" t="s">
        <v>111</v>
      </c>
      <c r="G273" s="8" t="s">
        <v>507</v>
      </c>
      <c r="H273" s="8" t="s">
        <v>325</v>
      </c>
      <c r="I273" s="8" t="s">
        <v>24</v>
      </c>
      <c r="J273" s="8">
        <v>1050</v>
      </c>
      <c r="K273" s="8">
        <v>1290</v>
      </c>
      <c r="L273" s="8" t="s">
        <v>25</v>
      </c>
      <c r="O273" s="8" t="s">
        <v>125</v>
      </c>
      <c r="P273" s="8" t="s">
        <v>123</v>
      </c>
      <c r="Q273" s="8" t="s">
        <v>125</v>
      </c>
      <c r="R273" s="21" t="s">
        <v>126</v>
      </c>
      <c r="S273" s="8" t="s">
        <v>125</v>
      </c>
      <c r="T273" s="8" t="s">
        <v>128</v>
      </c>
      <c r="U273" s="20">
        <f t="shared" si="96"/>
        <v>45762</v>
      </c>
      <c r="V273" s="8" t="s">
        <v>125</v>
      </c>
      <c r="W273" s="8" t="s">
        <v>129</v>
      </c>
      <c r="X273" s="8" t="s">
        <v>127</v>
      </c>
      <c r="Y273" s="13" t="s">
        <v>504</v>
      </c>
      <c r="Z273" s="20">
        <v>45761</v>
      </c>
    </row>
    <row r="274" spans="1:26" ht="15" customHeight="1" x14ac:dyDescent="0.2">
      <c r="A274" s="8">
        <v>276</v>
      </c>
      <c r="B274" s="8">
        <v>8304</v>
      </c>
      <c r="C274" s="14">
        <v>45760</v>
      </c>
      <c r="D274" s="8" t="s">
        <v>256</v>
      </c>
      <c r="E274" s="8" t="s">
        <v>1007</v>
      </c>
      <c r="F274" s="8" t="s">
        <v>63</v>
      </c>
      <c r="G274" s="8" t="s">
        <v>189</v>
      </c>
      <c r="H274" s="8" t="s">
        <v>1008</v>
      </c>
      <c r="I274" s="13" t="s">
        <v>196</v>
      </c>
      <c r="J274" s="8">
        <v>4.5</v>
      </c>
      <c r="K274" s="8">
        <v>4.6500000000000004</v>
      </c>
      <c r="L274" s="8" t="s">
        <v>197</v>
      </c>
      <c r="O274" s="8" t="s">
        <v>1009</v>
      </c>
      <c r="P274" s="8" t="s">
        <v>115</v>
      </c>
      <c r="Q274" s="8" t="s">
        <v>130</v>
      </c>
      <c r="R274" s="8" t="s">
        <v>408</v>
      </c>
      <c r="S274" s="8" t="s">
        <v>117</v>
      </c>
      <c r="T274" s="8" t="s">
        <v>128</v>
      </c>
      <c r="U274" s="20">
        <v>45769</v>
      </c>
      <c r="V274" s="20">
        <v>45762</v>
      </c>
      <c r="W274" s="8" t="s">
        <v>129</v>
      </c>
      <c r="X274" s="8" t="str">
        <f t="shared" ref="X274" si="97">G274&amp;AB$1&amp;O274</f>
        <v>SURABHI/FSD/Exceedance/B737/25-04/21</v>
      </c>
      <c r="Y274" s="13" t="s">
        <v>1010</v>
      </c>
      <c r="Z274" s="20">
        <v>45762</v>
      </c>
    </row>
    <row r="275" spans="1:26" ht="15" customHeight="1" x14ac:dyDescent="0.2">
      <c r="A275" s="8">
        <v>277</v>
      </c>
      <c r="B275" s="8" t="s">
        <v>125</v>
      </c>
      <c r="C275" s="14">
        <v>45761</v>
      </c>
      <c r="D275" s="8" t="s">
        <v>37</v>
      </c>
      <c r="E275" s="8" t="s">
        <v>310</v>
      </c>
      <c r="F275" s="8" t="s">
        <v>311</v>
      </c>
      <c r="G275" s="8" t="s">
        <v>703</v>
      </c>
      <c r="H275" s="8" t="s">
        <v>1011</v>
      </c>
      <c r="I275" s="8" t="s">
        <v>136</v>
      </c>
      <c r="J275" s="8" t="s">
        <v>382</v>
      </c>
      <c r="K275" s="8" t="s">
        <v>893</v>
      </c>
      <c r="L275" s="8" t="s">
        <v>42</v>
      </c>
      <c r="O275" s="8" t="s">
        <v>125</v>
      </c>
      <c r="P275" s="8" t="s">
        <v>123</v>
      </c>
      <c r="Q275" s="8" t="s">
        <v>125</v>
      </c>
      <c r="R275" s="21" t="s">
        <v>126</v>
      </c>
      <c r="S275" s="8" t="s">
        <v>125</v>
      </c>
      <c r="T275" s="8" t="s">
        <v>128</v>
      </c>
      <c r="U275" s="14">
        <v>45763</v>
      </c>
      <c r="V275" s="20">
        <v>45762</v>
      </c>
      <c r="W275" s="8" t="s">
        <v>129</v>
      </c>
      <c r="X275" s="8" t="s">
        <v>127</v>
      </c>
      <c r="Y275" s="13" t="s">
        <v>1012</v>
      </c>
      <c r="Z275" s="20">
        <v>45762</v>
      </c>
    </row>
    <row r="276" spans="1:26" ht="15" customHeight="1" x14ac:dyDescent="0.2">
      <c r="A276" s="8">
        <v>278</v>
      </c>
      <c r="B276" s="8" t="s">
        <v>125</v>
      </c>
      <c r="C276" s="14">
        <v>45763</v>
      </c>
      <c r="D276" s="8" t="s">
        <v>412</v>
      </c>
      <c r="E276" s="8" t="s">
        <v>940</v>
      </c>
      <c r="F276" s="8" t="s">
        <v>56</v>
      </c>
      <c r="G276" s="8" t="s">
        <v>1015</v>
      </c>
      <c r="H276" s="8" t="s">
        <v>1016</v>
      </c>
      <c r="I276" s="8" t="s">
        <v>24</v>
      </c>
      <c r="J276" s="8">
        <v>1050</v>
      </c>
      <c r="K276" s="8">
        <v>1184</v>
      </c>
      <c r="L276" s="8" t="s">
        <v>25</v>
      </c>
      <c r="O276" s="8" t="s">
        <v>125</v>
      </c>
      <c r="P276" s="8" t="s">
        <v>123</v>
      </c>
      <c r="Q276" s="8" t="s">
        <v>125</v>
      </c>
      <c r="R276" s="21" t="s">
        <v>126</v>
      </c>
      <c r="S276" s="8" t="s">
        <v>125</v>
      </c>
      <c r="T276" s="8" t="s">
        <v>128</v>
      </c>
      <c r="U276" s="14">
        <v>45765</v>
      </c>
      <c r="V276" s="8" t="s">
        <v>125</v>
      </c>
      <c r="W276" s="8" t="s">
        <v>129</v>
      </c>
      <c r="X276" s="8" t="s">
        <v>127</v>
      </c>
      <c r="Y276" s="13" t="s">
        <v>1023</v>
      </c>
      <c r="Z276" s="20">
        <v>45764</v>
      </c>
    </row>
    <row r="277" spans="1:26" ht="15" customHeight="1" x14ac:dyDescent="0.2">
      <c r="A277" s="8">
        <v>279</v>
      </c>
      <c r="B277" s="8" t="s">
        <v>125</v>
      </c>
      <c r="C277" s="14">
        <v>45763</v>
      </c>
      <c r="D277" s="8" t="s">
        <v>54</v>
      </c>
      <c r="E277" s="8" t="s">
        <v>921</v>
      </c>
      <c r="F277" s="8" t="s">
        <v>922</v>
      </c>
      <c r="G277" s="8" t="s">
        <v>194</v>
      </c>
      <c r="H277" s="8" t="s">
        <v>613</v>
      </c>
      <c r="I277" s="8" t="s">
        <v>529</v>
      </c>
      <c r="J277" s="8" t="s">
        <v>1017</v>
      </c>
      <c r="K277" s="8" t="s">
        <v>1018</v>
      </c>
      <c r="L277" s="8" t="s">
        <v>42</v>
      </c>
      <c r="O277" s="8" t="s">
        <v>125</v>
      </c>
      <c r="P277" s="8" t="s">
        <v>123</v>
      </c>
      <c r="Q277" s="8" t="s">
        <v>125</v>
      </c>
      <c r="R277" s="21" t="s">
        <v>126</v>
      </c>
      <c r="S277" s="8" t="s">
        <v>125</v>
      </c>
      <c r="T277" s="8" t="s">
        <v>128</v>
      </c>
      <c r="U277" s="14">
        <v>45765</v>
      </c>
      <c r="V277" s="8" t="s">
        <v>125</v>
      </c>
      <c r="W277" s="8" t="s">
        <v>129</v>
      </c>
      <c r="X277" s="8" t="s">
        <v>127</v>
      </c>
      <c r="Y277" s="13" t="s">
        <v>1024</v>
      </c>
      <c r="Z277" s="20">
        <v>45764</v>
      </c>
    </row>
    <row r="278" spans="1:26" ht="15" customHeight="1" x14ac:dyDescent="0.2">
      <c r="A278" s="8">
        <v>280</v>
      </c>
      <c r="B278" s="8" t="s">
        <v>125</v>
      </c>
      <c r="C278" s="14">
        <v>45763</v>
      </c>
      <c r="D278" s="8" t="s">
        <v>54</v>
      </c>
      <c r="E278" s="8" t="s">
        <v>921</v>
      </c>
      <c r="F278" s="8" t="s">
        <v>922</v>
      </c>
      <c r="G278" s="8" t="s">
        <v>194</v>
      </c>
      <c r="H278" s="8" t="s">
        <v>613</v>
      </c>
      <c r="I278" s="8" t="s">
        <v>136</v>
      </c>
      <c r="J278" s="8" t="s">
        <v>382</v>
      </c>
      <c r="K278" s="8" t="s">
        <v>1019</v>
      </c>
      <c r="L278" s="8" t="s">
        <v>42</v>
      </c>
      <c r="O278" s="8" t="s">
        <v>125</v>
      </c>
      <c r="P278" s="8" t="s">
        <v>123</v>
      </c>
      <c r="Q278" s="8" t="s">
        <v>125</v>
      </c>
      <c r="R278" s="21" t="s">
        <v>126</v>
      </c>
      <c r="S278" s="8" t="s">
        <v>125</v>
      </c>
      <c r="T278" s="8" t="s">
        <v>128</v>
      </c>
      <c r="U278" s="14">
        <v>45765</v>
      </c>
      <c r="V278" s="8" t="s">
        <v>125</v>
      </c>
      <c r="W278" s="8" t="s">
        <v>129</v>
      </c>
      <c r="X278" s="8" t="s">
        <v>127</v>
      </c>
      <c r="Y278" s="13" t="s">
        <v>1025</v>
      </c>
      <c r="Z278" s="20">
        <v>45764</v>
      </c>
    </row>
    <row r="279" spans="1:26" ht="15" customHeight="1" x14ac:dyDescent="0.2">
      <c r="A279" s="8">
        <v>281</v>
      </c>
      <c r="B279" s="8">
        <v>8323</v>
      </c>
      <c r="C279" s="14">
        <v>45763</v>
      </c>
      <c r="D279" s="8" t="s">
        <v>131</v>
      </c>
      <c r="E279" s="8" t="s">
        <v>1020</v>
      </c>
      <c r="F279" s="8" t="s">
        <v>111</v>
      </c>
      <c r="G279" s="8" t="s">
        <v>336</v>
      </c>
      <c r="H279" s="8" t="s">
        <v>348</v>
      </c>
      <c r="I279" s="8" t="s">
        <v>1021</v>
      </c>
      <c r="J279" s="8">
        <v>0</v>
      </c>
      <c r="K279" s="8">
        <v>-6.2E-2</v>
      </c>
      <c r="L279" s="8" t="s">
        <v>79</v>
      </c>
      <c r="O279" s="8" t="s">
        <v>1022</v>
      </c>
      <c r="P279" s="8" t="s">
        <v>115</v>
      </c>
      <c r="Q279" s="8" t="s">
        <v>130</v>
      </c>
      <c r="R279" s="8" t="s">
        <v>219</v>
      </c>
      <c r="S279" s="8" t="s">
        <v>117</v>
      </c>
      <c r="T279" s="8" t="s">
        <v>128</v>
      </c>
      <c r="U279" s="14">
        <v>45764</v>
      </c>
      <c r="V279" s="20">
        <v>45764</v>
      </c>
      <c r="W279" s="8" t="s">
        <v>129</v>
      </c>
      <c r="X279" s="8" t="str">
        <f t="shared" ref="X279:X281" si="98">G279&amp;AB$1&amp;O279</f>
        <v>MANDEEP KAUR./FSD/Exceedance/B737/25-04/22</v>
      </c>
      <c r="Y279" s="26" t="s">
        <v>1026</v>
      </c>
      <c r="Z279" s="20">
        <v>45764</v>
      </c>
    </row>
    <row r="280" spans="1:26" ht="15" customHeight="1" x14ac:dyDescent="0.2">
      <c r="A280" s="8">
        <v>282</v>
      </c>
      <c r="B280" s="8" t="s">
        <v>125</v>
      </c>
      <c r="C280" s="14">
        <v>45764</v>
      </c>
      <c r="D280" s="8" t="s">
        <v>139</v>
      </c>
      <c r="E280" s="8" t="s">
        <v>267</v>
      </c>
      <c r="F280" s="8" t="s">
        <v>268</v>
      </c>
      <c r="G280" s="8" t="s">
        <v>46</v>
      </c>
      <c r="H280" s="8" t="s">
        <v>512</v>
      </c>
      <c r="I280" s="8" t="s">
        <v>313</v>
      </c>
      <c r="K280" s="8">
        <v>37</v>
      </c>
      <c r="L280" s="4" t="s">
        <v>26</v>
      </c>
      <c r="O280" s="8" t="s">
        <v>125</v>
      </c>
      <c r="P280" s="8" t="s">
        <v>123</v>
      </c>
      <c r="Q280" s="8" t="s">
        <v>125</v>
      </c>
      <c r="R280" s="21" t="s">
        <v>126</v>
      </c>
      <c r="S280" s="8" t="s">
        <v>125</v>
      </c>
      <c r="T280" s="8" t="s">
        <v>128</v>
      </c>
      <c r="U280" s="14">
        <v>45766</v>
      </c>
      <c r="V280" s="8" t="s">
        <v>125</v>
      </c>
      <c r="W280" s="8" t="s">
        <v>129</v>
      </c>
      <c r="X280" s="8" t="s">
        <v>127</v>
      </c>
      <c r="Y280" s="13" t="s">
        <v>1028</v>
      </c>
      <c r="Z280" s="20">
        <v>45765</v>
      </c>
    </row>
    <row r="281" spans="1:26" ht="15" customHeight="1" x14ac:dyDescent="0.2">
      <c r="A281" s="8">
        <v>283</v>
      </c>
      <c r="B281" s="8">
        <v>8326</v>
      </c>
      <c r="C281" s="14">
        <v>45764</v>
      </c>
      <c r="D281" s="8" t="s">
        <v>131</v>
      </c>
      <c r="E281" s="8" t="s">
        <v>1020</v>
      </c>
      <c r="F281" s="8" t="s">
        <v>111</v>
      </c>
      <c r="G281" s="8" t="s">
        <v>112</v>
      </c>
      <c r="H281" s="8" t="s">
        <v>113</v>
      </c>
      <c r="I281" s="8" t="s">
        <v>24</v>
      </c>
      <c r="J281" s="8">
        <v>1100</v>
      </c>
      <c r="K281" s="8">
        <v>1200</v>
      </c>
      <c r="L281" s="4" t="s">
        <v>25</v>
      </c>
      <c r="O281" s="8" t="s">
        <v>1031</v>
      </c>
      <c r="P281" s="8" t="s">
        <v>115</v>
      </c>
      <c r="Q281" s="8" t="s">
        <v>130</v>
      </c>
      <c r="R281" s="8" t="s">
        <v>219</v>
      </c>
      <c r="S281" s="8" t="s">
        <v>117</v>
      </c>
      <c r="T281" s="8" t="s">
        <v>128</v>
      </c>
      <c r="U281" s="14">
        <v>45769</v>
      </c>
      <c r="V281" s="20">
        <v>45765</v>
      </c>
      <c r="W281" s="8" t="s">
        <v>129</v>
      </c>
      <c r="X281" s="8" t="str">
        <f t="shared" si="98"/>
        <v>ANAND MURTHY TIWARI/FSD/Exceedance/B737/25-04/23</v>
      </c>
      <c r="Y281" s="13" t="s">
        <v>1029</v>
      </c>
      <c r="Z281" s="20">
        <v>45765</v>
      </c>
    </row>
    <row r="282" spans="1:26" ht="15" customHeight="1" x14ac:dyDescent="0.2">
      <c r="A282" s="8">
        <v>284</v>
      </c>
      <c r="B282" s="8" t="s">
        <v>125</v>
      </c>
      <c r="C282" s="14">
        <v>45764</v>
      </c>
      <c r="D282" s="8" t="s">
        <v>66</v>
      </c>
      <c r="E282" s="8" t="s">
        <v>434</v>
      </c>
      <c r="F282" s="8" t="s">
        <v>299</v>
      </c>
      <c r="G282" s="8" t="s">
        <v>420</v>
      </c>
      <c r="H282" s="8" t="s">
        <v>365</v>
      </c>
      <c r="I282" s="8" t="s">
        <v>136</v>
      </c>
      <c r="J282" s="8" t="s">
        <v>382</v>
      </c>
      <c r="K282" s="8" t="s">
        <v>1027</v>
      </c>
      <c r="L282" s="4" t="s">
        <v>42</v>
      </c>
      <c r="O282" s="8" t="s">
        <v>125</v>
      </c>
      <c r="P282" s="8" t="s">
        <v>123</v>
      </c>
      <c r="Q282" s="8" t="s">
        <v>125</v>
      </c>
      <c r="R282" s="21" t="s">
        <v>126</v>
      </c>
      <c r="S282" s="8" t="s">
        <v>125</v>
      </c>
      <c r="T282" s="8" t="s">
        <v>128</v>
      </c>
      <c r="U282" s="14">
        <v>45766</v>
      </c>
      <c r="V282" s="8" t="s">
        <v>125</v>
      </c>
      <c r="W282" s="8" t="s">
        <v>129</v>
      </c>
      <c r="X282" s="8" t="s">
        <v>127</v>
      </c>
      <c r="Y282" s="13" t="s">
        <v>1030</v>
      </c>
      <c r="Z282" s="20">
        <v>45765</v>
      </c>
    </row>
    <row r="283" spans="1:26" ht="15" customHeight="1" x14ac:dyDescent="0.2">
      <c r="A283" s="8">
        <v>285</v>
      </c>
      <c r="B283" s="8">
        <v>8332</v>
      </c>
      <c r="C283" s="14">
        <v>45765</v>
      </c>
      <c r="D283" s="8" t="s">
        <v>48</v>
      </c>
      <c r="E283" s="8" t="s">
        <v>1020</v>
      </c>
      <c r="F283" s="8" t="s">
        <v>111</v>
      </c>
      <c r="G283" s="8" t="s">
        <v>684</v>
      </c>
      <c r="H283" s="8" t="s">
        <v>824</v>
      </c>
      <c r="I283" s="8" t="s">
        <v>778</v>
      </c>
      <c r="J283" s="8">
        <v>950</v>
      </c>
      <c r="K283" s="8">
        <v>960</v>
      </c>
      <c r="L283" s="4" t="s">
        <v>716</v>
      </c>
      <c r="O283" s="8" t="s">
        <v>1037</v>
      </c>
      <c r="P283" s="8" t="s">
        <v>115</v>
      </c>
      <c r="Q283" s="8" t="s">
        <v>130</v>
      </c>
      <c r="R283" s="8" t="s">
        <v>219</v>
      </c>
      <c r="S283" s="8" t="s">
        <v>129</v>
      </c>
      <c r="T283" s="8" t="s">
        <v>128</v>
      </c>
      <c r="U283" s="14">
        <v>45775</v>
      </c>
      <c r="V283" s="20">
        <v>45766</v>
      </c>
      <c r="W283" s="8" t="s">
        <v>129</v>
      </c>
      <c r="X283" s="8" t="str">
        <f t="shared" ref="X283:X284" si="99">G283&amp;AB$1&amp;O283</f>
        <v>DIVYANSHU CHATURVEDI/FSD/Exceedance/B737/25-04/24</v>
      </c>
      <c r="Y283" s="13" t="s">
        <v>1034</v>
      </c>
      <c r="Z283" s="20">
        <v>45766</v>
      </c>
    </row>
    <row r="284" spans="1:26" ht="15" customHeight="1" x14ac:dyDescent="0.2">
      <c r="A284" s="8">
        <v>286</v>
      </c>
      <c r="B284" s="8">
        <v>8333</v>
      </c>
      <c r="C284" s="14">
        <v>45765</v>
      </c>
      <c r="D284" s="8" t="s">
        <v>48</v>
      </c>
      <c r="E284" s="8" t="s">
        <v>997</v>
      </c>
      <c r="F284" s="8" t="s">
        <v>1002</v>
      </c>
      <c r="G284" s="8" t="s">
        <v>300</v>
      </c>
      <c r="H284" s="8" t="s">
        <v>74</v>
      </c>
      <c r="I284" s="8" t="s">
        <v>778</v>
      </c>
      <c r="J284" s="8">
        <v>950</v>
      </c>
      <c r="K284" s="8">
        <v>951</v>
      </c>
      <c r="L284" s="4" t="s">
        <v>716</v>
      </c>
      <c r="O284" s="8" t="s">
        <v>1038</v>
      </c>
      <c r="P284" s="8" t="s">
        <v>115</v>
      </c>
      <c r="Q284" s="8" t="s">
        <v>130</v>
      </c>
      <c r="R284" s="8" t="s">
        <v>219</v>
      </c>
      <c r="S284" s="8" t="s">
        <v>117</v>
      </c>
      <c r="T284" s="8" t="s">
        <v>128</v>
      </c>
      <c r="U284" s="14">
        <v>45769</v>
      </c>
      <c r="V284" s="20">
        <v>45766</v>
      </c>
      <c r="W284" s="8" t="s">
        <v>129</v>
      </c>
      <c r="X284" s="8" t="str">
        <f t="shared" si="99"/>
        <v>ARVINDER SINGH/FSD/Exceedance/B737/25-04/25</v>
      </c>
      <c r="Y284" s="13" t="s">
        <v>1035</v>
      </c>
      <c r="Z284" s="20">
        <v>45766</v>
      </c>
    </row>
    <row r="285" spans="1:26" ht="15" customHeight="1" x14ac:dyDescent="0.2">
      <c r="A285" s="8">
        <v>287</v>
      </c>
      <c r="B285" s="8" t="s">
        <v>125</v>
      </c>
      <c r="C285" s="14">
        <v>45763</v>
      </c>
      <c r="D285" s="8" t="s">
        <v>40</v>
      </c>
      <c r="E285" s="8" t="s">
        <v>1033</v>
      </c>
      <c r="F285" s="8" t="s">
        <v>1032</v>
      </c>
      <c r="G285" s="8" t="s">
        <v>647</v>
      </c>
      <c r="H285" s="8" t="s">
        <v>386</v>
      </c>
      <c r="I285" s="8" t="s">
        <v>57</v>
      </c>
      <c r="J285" s="8">
        <v>30</v>
      </c>
      <c r="K285" s="8">
        <v>32.5</v>
      </c>
      <c r="L285" s="8" t="s">
        <v>271</v>
      </c>
      <c r="O285" s="8" t="s">
        <v>125</v>
      </c>
      <c r="P285" s="8" t="s">
        <v>123</v>
      </c>
      <c r="Q285" s="8" t="s">
        <v>125</v>
      </c>
      <c r="R285" s="21" t="s">
        <v>126</v>
      </c>
      <c r="S285" s="8" t="s">
        <v>125</v>
      </c>
      <c r="T285" s="8" t="s">
        <v>128</v>
      </c>
      <c r="U285" s="14">
        <v>45767</v>
      </c>
      <c r="V285" s="8" t="s">
        <v>125</v>
      </c>
      <c r="W285" s="8" t="s">
        <v>129</v>
      </c>
      <c r="X285" s="8" t="s">
        <v>127</v>
      </c>
      <c r="Y285" s="13" t="s">
        <v>1036</v>
      </c>
      <c r="Z285" s="20">
        <v>45766</v>
      </c>
    </row>
    <row r="286" spans="1:26" ht="15" customHeight="1" x14ac:dyDescent="0.2">
      <c r="A286" s="8">
        <v>288</v>
      </c>
      <c r="B286" s="8" t="s">
        <v>125</v>
      </c>
      <c r="C286" s="14">
        <v>45764</v>
      </c>
      <c r="D286" s="8" t="s">
        <v>48</v>
      </c>
      <c r="E286" s="8" t="s">
        <v>1039</v>
      </c>
      <c r="F286" s="8" t="s">
        <v>1040</v>
      </c>
      <c r="G286" s="8" t="s">
        <v>274</v>
      </c>
      <c r="H286" s="8" t="s">
        <v>343</v>
      </c>
      <c r="I286" s="8" t="s">
        <v>391</v>
      </c>
      <c r="J286" s="8" t="s">
        <v>392</v>
      </c>
      <c r="K286" s="8" t="s">
        <v>675</v>
      </c>
      <c r="L286" s="8" t="s">
        <v>42</v>
      </c>
      <c r="O286" s="8" t="s">
        <v>125</v>
      </c>
      <c r="P286" s="8" t="s">
        <v>123</v>
      </c>
      <c r="Q286" s="8" t="s">
        <v>125</v>
      </c>
      <c r="R286" s="21" t="s">
        <v>126</v>
      </c>
      <c r="S286" s="8" t="s">
        <v>125</v>
      </c>
      <c r="T286" s="8" t="s">
        <v>128</v>
      </c>
      <c r="U286" s="14">
        <v>45768</v>
      </c>
      <c r="V286" s="8" t="s">
        <v>125</v>
      </c>
      <c r="W286" s="8" t="s">
        <v>129</v>
      </c>
      <c r="X286" s="8" t="s">
        <v>127</v>
      </c>
      <c r="Y286" s="26" t="s">
        <v>1042</v>
      </c>
      <c r="Z286" s="20">
        <v>45767</v>
      </c>
    </row>
    <row r="287" spans="1:26" ht="15" customHeight="1" x14ac:dyDescent="0.2">
      <c r="A287" s="8">
        <v>289</v>
      </c>
      <c r="B287" s="8">
        <v>8335</v>
      </c>
      <c r="C287" s="14">
        <v>45766</v>
      </c>
      <c r="D287" s="8" t="s">
        <v>48</v>
      </c>
      <c r="E287" s="8" t="s">
        <v>943</v>
      </c>
      <c r="F287" s="8" t="s">
        <v>465</v>
      </c>
      <c r="G287" s="8" t="s">
        <v>1044</v>
      </c>
      <c r="H287" s="8" t="s">
        <v>303</v>
      </c>
      <c r="I287" s="8" t="s">
        <v>53</v>
      </c>
      <c r="J287" s="8">
        <v>300</v>
      </c>
      <c r="K287" s="8">
        <v>240</v>
      </c>
      <c r="L287" s="8" t="s">
        <v>25</v>
      </c>
      <c r="O287" s="8" t="s">
        <v>1041</v>
      </c>
      <c r="P287" s="8" t="s">
        <v>115</v>
      </c>
      <c r="Q287" s="8" t="s">
        <v>130</v>
      </c>
      <c r="R287" s="8" t="s">
        <v>219</v>
      </c>
      <c r="S287" s="8" t="s">
        <v>129</v>
      </c>
      <c r="T287" s="8" t="s">
        <v>128</v>
      </c>
      <c r="U287" s="20">
        <v>45776</v>
      </c>
      <c r="V287" s="14">
        <v>45767</v>
      </c>
      <c r="W287" s="8" t="s">
        <v>129</v>
      </c>
      <c r="X287" s="8" t="str">
        <f t="shared" ref="X287" si="100">G287&amp;AB$1&amp;O287</f>
        <v>KAPIL KUMAR MANGLIK/FSD/Exceedance/B737/25-04/26</v>
      </c>
      <c r="Y287" s="13" t="s">
        <v>1043</v>
      </c>
      <c r="Z287" s="20">
        <v>45767</v>
      </c>
    </row>
    <row r="288" spans="1:26" ht="15" customHeight="1" x14ac:dyDescent="0.2">
      <c r="A288" s="8">
        <v>290</v>
      </c>
      <c r="B288" s="8" t="s">
        <v>125</v>
      </c>
      <c r="C288" s="14">
        <v>45766</v>
      </c>
      <c r="D288" s="8" t="s">
        <v>144</v>
      </c>
      <c r="E288" s="8" t="s">
        <v>1045</v>
      </c>
      <c r="F288" s="8" t="s">
        <v>51</v>
      </c>
      <c r="G288" s="8" t="s">
        <v>962</v>
      </c>
      <c r="H288" s="8" t="s">
        <v>550</v>
      </c>
      <c r="I288" s="8" t="s">
        <v>27</v>
      </c>
      <c r="J288" s="8" t="s">
        <v>28</v>
      </c>
      <c r="K288" s="31" t="s">
        <v>1052</v>
      </c>
      <c r="L288" s="4" t="s">
        <v>26</v>
      </c>
      <c r="O288" s="8" t="s">
        <v>1047</v>
      </c>
      <c r="P288" s="8" t="s">
        <v>157</v>
      </c>
      <c r="Q288" s="8" t="s">
        <v>125</v>
      </c>
      <c r="R288" s="8" t="s">
        <v>126</v>
      </c>
      <c r="S288" s="8" t="s">
        <v>125</v>
      </c>
      <c r="T288" s="8" t="s">
        <v>128</v>
      </c>
      <c r="U288" s="14">
        <v>45769</v>
      </c>
      <c r="V288" s="8" t="s">
        <v>125</v>
      </c>
      <c r="W288" s="8" t="s">
        <v>129</v>
      </c>
      <c r="X288" s="8" t="s">
        <v>127</v>
      </c>
      <c r="Y288" s="13" t="s">
        <v>1048</v>
      </c>
      <c r="Z288" s="20">
        <v>45768</v>
      </c>
    </row>
    <row r="289" spans="1:26" ht="15" customHeight="1" x14ac:dyDescent="0.2">
      <c r="A289" s="8">
        <v>291</v>
      </c>
      <c r="B289" s="8" t="s">
        <v>125</v>
      </c>
      <c r="C289" s="14">
        <v>45766</v>
      </c>
      <c r="D289" s="8" t="s">
        <v>37</v>
      </c>
      <c r="E289" s="8" t="s">
        <v>439</v>
      </c>
      <c r="F289" s="8" t="s">
        <v>995</v>
      </c>
      <c r="G289" s="8" t="s">
        <v>259</v>
      </c>
      <c r="H289" s="8" t="s">
        <v>786</v>
      </c>
      <c r="I289" s="8" t="s">
        <v>391</v>
      </c>
      <c r="J289" s="8" t="s">
        <v>392</v>
      </c>
      <c r="K289" s="8" t="s">
        <v>1046</v>
      </c>
      <c r="L289" s="8" t="s">
        <v>42</v>
      </c>
      <c r="O289" s="8" t="s">
        <v>125</v>
      </c>
      <c r="P289" s="8" t="s">
        <v>123</v>
      </c>
      <c r="Q289" s="8" t="s">
        <v>125</v>
      </c>
      <c r="R289" s="21" t="s">
        <v>126</v>
      </c>
      <c r="S289" s="8" t="s">
        <v>125</v>
      </c>
      <c r="T289" s="8" t="s">
        <v>128</v>
      </c>
      <c r="U289" s="14">
        <v>45769</v>
      </c>
      <c r="V289" s="8" t="s">
        <v>125</v>
      </c>
      <c r="W289" s="8" t="s">
        <v>129</v>
      </c>
      <c r="X289" s="8" t="s">
        <v>127</v>
      </c>
      <c r="Y289" s="22" t="s">
        <v>1049</v>
      </c>
      <c r="Z289" s="20">
        <v>45768</v>
      </c>
    </row>
    <row r="290" spans="1:26" ht="33" customHeight="1" x14ac:dyDescent="0.2">
      <c r="A290" s="8">
        <v>292</v>
      </c>
      <c r="B290" s="8" t="s">
        <v>125</v>
      </c>
      <c r="C290" s="14">
        <v>45767</v>
      </c>
      <c r="D290" s="8" t="s">
        <v>40</v>
      </c>
      <c r="E290" s="8" t="s">
        <v>617</v>
      </c>
      <c r="F290" s="8" t="s">
        <v>1050</v>
      </c>
      <c r="G290" s="8" t="s">
        <v>493</v>
      </c>
      <c r="H290" s="8" t="s">
        <v>574</v>
      </c>
      <c r="I290" s="8" t="s">
        <v>57</v>
      </c>
      <c r="J290" s="8">
        <v>30</v>
      </c>
      <c r="K290" s="8">
        <v>31.3</v>
      </c>
      <c r="L290" s="8" t="s">
        <v>271</v>
      </c>
      <c r="O290" s="8" t="s">
        <v>125</v>
      </c>
      <c r="P290" s="8" t="s">
        <v>123</v>
      </c>
      <c r="Q290" s="8" t="s">
        <v>125</v>
      </c>
      <c r="R290" s="21" t="s">
        <v>126</v>
      </c>
      <c r="S290" s="8" t="s">
        <v>125</v>
      </c>
      <c r="T290" s="8" t="s">
        <v>128</v>
      </c>
      <c r="U290" s="14">
        <v>45769</v>
      </c>
      <c r="V290" s="8" t="s">
        <v>125</v>
      </c>
      <c r="W290" s="8" t="s">
        <v>129</v>
      </c>
      <c r="X290" s="8" t="s">
        <v>127</v>
      </c>
      <c r="Y290" s="13" t="s">
        <v>1051</v>
      </c>
      <c r="Z290" s="20">
        <v>45768</v>
      </c>
    </row>
    <row r="291" spans="1:26" ht="32" x14ac:dyDescent="0.2">
      <c r="A291" s="8">
        <v>293</v>
      </c>
      <c r="B291" s="8">
        <v>8345</v>
      </c>
      <c r="C291" s="14">
        <v>45767</v>
      </c>
      <c r="D291" s="8" t="s">
        <v>30</v>
      </c>
      <c r="E291" s="8" t="s">
        <v>1053</v>
      </c>
      <c r="F291" s="8" t="s">
        <v>1054</v>
      </c>
      <c r="G291" s="8" t="s">
        <v>46</v>
      </c>
      <c r="H291" s="8" t="s">
        <v>184</v>
      </c>
      <c r="I291" s="8" t="s">
        <v>1055</v>
      </c>
      <c r="J291" s="8">
        <v>235</v>
      </c>
      <c r="K291" s="8">
        <v>256.8</v>
      </c>
      <c r="L291" s="8" t="s">
        <v>42</v>
      </c>
      <c r="O291" s="8" t="s">
        <v>1058</v>
      </c>
      <c r="P291" s="8" t="s">
        <v>115</v>
      </c>
      <c r="Q291" s="8" t="s">
        <v>130</v>
      </c>
      <c r="R291" s="8" t="s">
        <v>408</v>
      </c>
      <c r="S291" s="8" t="s">
        <v>117</v>
      </c>
      <c r="T291" s="8" t="s">
        <v>1199</v>
      </c>
      <c r="U291" s="20">
        <v>45796</v>
      </c>
      <c r="V291" s="14">
        <v>45769</v>
      </c>
      <c r="W291" s="8" t="s">
        <v>129</v>
      </c>
      <c r="X291" s="8" t="str">
        <f t="shared" ref="X291:X292" si="101">G291&amp;AB$1&amp;O291</f>
        <v>SANJEEV KUMAR/FSD/Exceedance/B737/25-04/28</v>
      </c>
      <c r="Y291" s="13" t="s">
        <v>1061</v>
      </c>
      <c r="Z291" s="20">
        <v>45769</v>
      </c>
    </row>
    <row r="292" spans="1:26" ht="15" customHeight="1" x14ac:dyDescent="0.2">
      <c r="A292" s="8">
        <v>294</v>
      </c>
      <c r="B292" s="8">
        <v>8346</v>
      </c>
      <c r="C292" s="14">
        <v>45768</v>
      </c>
      <c r="D292" s="8" t="s">
        <v>412</v>
      </c>
      <c r="E292" s="8" t="s">
        <v>1033</v>
      </c>
      <c r="F292" s="8" t="s">
        <v>373</v>
      </c>
      <c r="G292" s="8" t="s">
        <v>112</v>
      </c>
      <c r="H292" s="8" t="s">
        <v>400</v>
      </c>
      <c r="I292" s="8" t="s">
        <v>24</v>
      </c>
      <c r="J292" s="8">
        <v>1100</v>
      </c>
      <c r="K292" s="8">
        <v>1152</v>
      </c>
      <c r="L292" s="8" t="s">
        <v>25</v>
      </c>
      <c r="O292" s="8" t="s">
        <v>1059</v>
      </c>
      <c r="P292" s="8" t="s">
        <v>115</v>
      </c>
      <c r="Q292" s="8" t="s">
        <v>130</v>
      </c>
      <c r="R292" s="8" t="s">
        <v>219</v>
      </c>
      <c r="S292" s="8" t="s">
        <v>117</v>
      </c>
      <c r="T292" s="8" t="s">
        <v>128</v>
      </c>
      <c r="U292" s="14">
        <v>45769</v>
      </c>
      <c r="V292" s="14">
        <v>45769</v>
      </c>
      <c r="W292" s="8" t="s">
        <v>129</v>
      </c>
      <c r="X292" s="8" t="str">
        <f t="shared" si="101"/>
        <v>ANAND MURTHY TIWARI/FSD/Exceedance/B737/25-04/29</v>
      </c>
      <c r="Y292" s="13" t="s">
        <v>1062</v>
      </c>
      <c r="Z292" s="20">
        <v>45769</v>
      </c>
    </row>
    <row r="293" spans="1:26" ht="15" customHeight="1" x14ac:dyDescent="0.2">
      <c r="A293" s="8">
        <v>295</v>
      </c>
      <c r="B293" s="8" t="s">
        <v>125</v>
      </c>
      <c r="C293" s="14">
        <v>45768</v>
      </c>
      <c r="D293" s="8" t="s">
        <v>412</v>
      </c>
      <c r="E293" s="8" t="s">
        <v>997</v>
      </c>
      <c r="F293" s="8" t="s">
        <v>411</v>
      </c>
      <c r="G293" s="8" t="s">
        <v>112</v>
      </c>
      <c r="H293" s="8" t="s">
        <v>400</v>
      </c>
      <c r="I293" s="8" t="s">
        <v>57</v>
      </c>
      <c r="J293" s="8">
        <v>30</v>
      </c>
      <c r="K293" s="8">
        <v>31.1</v>
      </c>
      <c r="L293" s="8" t="s">
        <v>271</v>
      </c>
      <c r="O293" s="8" t="s">
        <v>125</v>
      </c>
      <c r="P293" s="8" t="s">
        <v>123</v>
      </c>
      <c r="Q293" s="8" t="s">
        <v>125</v>
      </c>
      <c r="R293" s="21" t="s">
        <v>126</v>
      </c>
      <c r="S293" s="8" t="s">
        <v>125</v>
      </c>
      <c r="T293" s="8" t="s">
        <v>128</v>
      </c>
      <c r="U293" s="14">
        <v>45770</v>
      </c>
      <c r="V293" s="8" t="s">
        <v>125</v>
      </c>
      <c r="W293" s="8" t="s">
        <v>129</v>
      </c>
      <c r="X293" s="8" t="s">
        <v>127</v>
      </c>
      <c r="Y293" s="13" t="s">
        <v>1063</v>
      </c>
      <c r="Z293" s="20">
        <v>45769</v>
      </c>
    </row>
    <row r="294" spans="1:26" ht="15" customHeight="1" x14ac:dyDescent="0.2">
      <c r="A294" s="8">
        <v>296</v>
      </c>
      <c r="B294" s="8" t="s">
        <v>125</v>
      </c>
      <c r="C294" s="14">
        <v>45768</v>
      </c>
      <c r="D294" s="8" t="s">
        <v>37</v>
      </c>
      <c r="E294" s="8" t="s">
        <v>439</v>
      </c>
      <c r="F294" s="8" t="s">
        <v>35</v>
      </c>
      <c r="G294" s="8" t="s">
        <v>511</v>
      </c>
      <c r="H294" s="8" t="s">
        <v>1056</v>
      </c>
      <c r="I294" s="8" t="s">
        <v>57</v>
      </c>
      <c r="J294" s="8">
        <v>30</v>
      </c>
      <c r="K294" s="8">
        <v>31.3</v>
      </c>
      <c r="L294" s="8" t="s">
        <v>271</v>
      </c>
      <c r="O294" s="8" t="s">
        <v>125</v>
      </c>
      <c r="P294" s="8" t="s">
        <v>123</v>
      </c>
      <c r="Q294" s="8" t="s">
        <v>125</v>
      </c>
      <c r="R294" s="21" t="s">
        <v>126</v>
      </c>
      <c r="S294" s="8" t="s">
        <v>125</v>
      </c>
      <c r="T294" s="8" t="s">
        <v>128</v>
      </c>
      <c r="U294" s="14">
        <v>45770</v>
      </c>
      <c r="V294" s="8" t="s">
        <v>125</v>
      </c>
      <c r="W294" s="8" t="s">
        <v>129</v>
      </c>
      <c r="X294" s="8" t="s">
        <v>127</v>
      </c>
      <c r="Y294" s="13" t="s">
        <v>1064</v>
      </c>
      <c r="Z294" s="20">
        <v>45769</v>
      </c>
    </row>
    <row r="295" spans="1:26" ht="15" customHeight="1" x14ac:dyDescent="0.2">
      <c r="A295" s="8">
        <v>297</v>
      </c>
      <c r="B295" s="8" t="s">
        <v>125</v>
      </c>
      <c r="C295" s="14">
        <v>45768</v>
      </c>
      <c r="D295" s="8" t="s">
        <v>249</v>
      </c>
      <c r="E295" s="8" t="s">
        <v>894</v>
      </c>
      <c r="F295" s="8" t="s">
        <v>895</v>
      </c>
      <c r="G295" s="8" t="s">
        <v>141</v>
      </c>
      <c r="H295" s="8" t="s">
        <v>622</v>
      </c>
      <c r="I295" s="8" t="s">
        <v>27</v>
      </c>
      <c r="J295" s="8" t="s">
        <v>28</v>
      </c>
      <c r="K295" s="8" t="s">
        <v>1057</v>
      </c>
      <c r="L295" s="8" t="s">
        <v>26</v>
      </c>
      <c r="O295" s="8" t="s">
        <v>1060</v>
      </c>
      <c r="P295" s="8" t="s">
        <v>157</v>
      </c>
      <c r="Q295" s="8" t="s">
        <v>125</v>
      </c>
      <c r="R295" s="8" t="s">
        <v>126</v>
      </c>
      <c r="S295" s="8" t="s">
        <v>125</v>
      </c>
      <c r="T295" s="8" t="s">
        <v>128</v>
      </c>
      <c r="U295" s="14">
        <v>45770</v>
      </c>
      <c r="V295" s="8" t="s">
        <v>125</v>
      </c>
      <c r="W295" s="8" t="s">
        <v>129</v>
      </c>
      <c r="X295" s="8" t="s">
        <v>127</v>
      </c>
      <c r="Y295" s="13" t="s">
        <v>1065</v>
      </c>
      <c r="Z295" s="20">
        <v>45769</v>
      </c>
    </row>
    <row r="296" spans="1:26" ht="15" customHeight="1" x14ac:dyDescent="0.2">
      <c r="A296" s="8">
        <v>298</v>
      </c>
      <c r="B296" s="8" t="s">
        <v>125</v>
      </c>
      <c r="C296" s="12">
        <v>45768</v>
      </c>
      <c r="D296" s="13" t="s">
        <v>37</v>
      </c>
      <c r="E296" s="13" t="s">
        <v>1020</v>
      </c>
      <c r="F296" s="13" t="s">
        <v>111</v>
      </c>
      <c r="G296" s="13" t="s">
        <v>650</v>
      </c>
      <c r="H296" s="13" t="s">
        <v>170</v>
      </c>
      <c r="I296" s="13" t="s">
        <v>27</v>
      </c>
      <c r="J296" s="13" t="s">
        <v>28</v>
      </c>
      <c r="K296" s="13" t="s">
        <v>1068</v>
      </c>
      <c r="L296" s="13" t="s">
        <v>26</v>
      </c>
      <c r="O296" s="8" t="s">
        <v>1069</v>
      </c>
      <c r="P296" s="8" t="s">
        <v>157</v>
      </c>
      <c r="Q296" s="8" t="s">
        <v>125</v>
      </c>
      <c r="R296" s="8" t="s">
        <v>126</v>
      </c>
      <c r="S296" s="8" t="s">
        <v>125</v>
      </c>
      <c r="T296" s="8" t="s">
        <v>128</v>
      </c>
      <c r="U296" s="14">
        <v>45771</v>
      </c>
      <c r="V296" s="8" t="s">
        <v>125</v>
      </c>
      <c r="W296" s="8" t="s">
        <v>129</v>
      </c>
      <c r="X296" s="8" t="s">
        <v>127</v>
      </c>
      <c r="Y296" s="13" t="s">
        <v>1070</v>
      </c>
      <c r="Z296" s="20">
        <v>45770</v>
      </c>
    </row>
    <row r="297" spans="1:26" ht="15" customHeight="1" x14ac:dyDescent="0.2">
      <c r="A297" s="8">
        <v>299</v>
      </c>
      <c r="B297" s="8" t="s">
        <v>125</v>
      </c>
      <c r="C297" s="12">
        <v>45769</v>
      </c>
      <c r="D297" s="13" t="s">
        <v>256</v>
      </c>
      <c r="E297" s="13" t="s">
        <v>1071</v>
      </c>
      <c r="F297" s="13" t="s">
        <v>60</v>
      </c>
      <c r="G297" s="13" t="s">
        <v>947</v>
      </c>
      <c r="H297" s="13" t="s">
        <v>1072</v>
      </c>
      <c r="I297" s="13" t="s">
        <v>58</v>
      </c>
      <c r="J297" s="13">
        <v>1200</v>
      </c>
      <c r="K297" s="13">
        <v>1101</v>
      </c>
      <c r="L297" s="13" t="s">
        <v>26</v>
      </c>
      <c r="O297" s="8" t="s">
        <v>125</v>
      </c>
      <c r="P297" s="8" t="s">
        <v>123</v>
      </c>
      <c r="Q297" s="8" t="s">
        <v>125</v>
      </c>
      <c r="R297" s="21" t="s">
        <v>126</v>
      </c>
      <c r="S297" s="8" t="s">
        <v>125</v>
      </c>
      <c r="T297" s="8" t="s">
        <v>128</v>
      </c>
      <c r="U297" s="14">
        <v>45771</v>
      </c>
      <c r="V297" s="8" t="s">
        <v>125</v>
      </c>
      <c r="W297" s="8" t="s">
        <v>129</v>
      </c>
      <c r="X297" s="8" t="s">
        <v>127</v>
      </c>
      <c r="Y297" s="13" t="s">
        <v>1073</v>
      </c>
      <c r="Z297" s="20">
        <v>45770</v>
      </c>
    </row>
    <row r="298" spans="1:26" ht="15" customHeight="1" x14ac:dyDescent="0.2">
      <c r="A298" s="8">
        <v>300</v>
      </c>
      <c r="B298" s="8" t="s">
        <v>125</v>
      </c>
      <c r="C298" s="14">
        <v>45768</v>
      </c>
      <c r="D298" s="8" t="s">
        <v>48</v>
      </c>
      <c r="E298" s="8" t="s">
        <v>887</v>
      </c>
      <c r="F298" s="8" t="s">
        <v>888</v>
      </c>
      <c r="G298" s="13" t="s">
        <v>785</v>
      </c>
      <c r="H298" s="13" t="s">
        <v>195</v>
      </c>
      <c r="I298" s="13" t="s">
        <v>391</v>
      </c>
      <c r="J298" s="8" t="s">
        <v>392</v>
      </c>
      <c r="K298" s="8" t="s">
        <v>858</v>
      </c>
      <c r="L298" s="8" t="s">
        <v>42</v>
      </c>
      <c r="O298" s="8" t="s">
        <v>125</v>
      </c>
      <c r="P298" s="8" t="s">
        <v>123</v>
      </c>
      <c r="Q298" s="8" t="s">
        <v>125</v>
      </c>
      <c r="R298" s="21" t="s">
        <v>126</v>
      </c>
      <c r="S298" s="8" t="s">
        <v>125</v>
      </c>
      <c r="T298" s="8" t="s">
        <v>128</v>
      </c>
      <c r="U298" s="14">
        <v>45771</v>
      </c>
      <c r="V298" s="8" t="s">
        <v>125</v>
      </c>
      <c r="W298" s="8" t="s">
        <v>129</v>
      </c>
      <c r="X298" s="8" t="s">
        <v>127</v>
      </c>
      <c r="Y298" s="22" t="s">
        <v>1074</v>
      </c>
      <c r="Z298" s="20">
        <v>45770</v>
      </c>
    </row>
    <row r="299" spans="1:26" ht="15" customHeight="1" x14ac:dyDescent="0.2">
      <c r="A299" s="8">
        <v>301</v>
      </c>
      <c r="B299" s="8">
        <v>8362</v>
      </c>
      <c r="C299" s="12">
        <v>45770</v>
      </c>
      <c r="D299" s="13" t="s">
        <v>37</v>
      </c>
      <c r="E299" s="13" t="s">
        <v>520</v>
      </c>
      <c r="F299" s="13" t="s">
        <v>311</v>
      </c>
      <c r="G299" s="13" t="s">
        <v>703</v>
      </c>
      <c r="H299" s="13" t="s">
        <v>335</v>
      </c>
      <c r="I299" s="13" t="s">
        <v>136</v>
      </c>
      <c r="J299" s="13" t="s">
        <v>532</v>
      </c>
      <c r="K299" s="13" t="s">
        <v>889</v>
      </c>
      <c r="L299" s="13" t="s">
        <v>42</v>
      </c>
      <c r="O299" s="8" t="s">
        <v>1076</v>
      </c>
      <c r="P299" s="8" t="s">
        <v>115</v>
      </c>
      <c r="Q299" s="8" t="s">
        <v>130</v>
      </c>
      <c r="R299" s="8" t="s">
        <v>408</v>
      </c>
      <c r="S299" s="8" t="s">
        <v>117</v>
      </c>
      <c r="T299" s="8" t="s">
        <v>128</v>
      </c>
      <c r="U299" s="14">
        <v>45776</v>
      </c>
      <c r="V299" s="14">
        <v>45772</v>
      </c>
      <c r="W299" s="8" t="s">
        <v>129</v>
      </c>
      <c r="X299" s="8" t="str">
        <f t="shared" ref="X299:X302" si="102">G299&amp;AB$1&amp;O299</f>
        <v>DHRUV MITAL/FSD/Exceedance/B737/25-04/32</v>
      </c>
      <c r="Y299" s="13" t="s">
        <v>1077</v>
      </c>
      <c r="Z299" s="14">
        <v>45772</v>
      </c>
    </row>
    <row r="300" spans="1:26" ht="15" customHeight="1" x14ac:dyDescent="0.2">
      <c r="A300" s="8">
        <v>302</v>
      </c>
      <c r="B300" s="8">
        <v>8362</v>
      </c>
      <c r="C300" s="12">
        <v>45770</v>
      </c>
      <c r="D300" s="13" t="s">
        <v>37</v>
      </c>
      <c r="E300" s="13" t="s">
        <v>520</v>
      </c>
      <c r="F300" s="13" t="s">
        <v>311</v>
      </c>
      <c r="G300" s="13" t="s">
        <v>703</v>
      </c>
      <c r="H300" s="13" t="s">
        <v>335</v>
      </c>
      <c r="I300" s="13" t="s">
        <v>529</v>
      </c>
      <c r="J300" s="13" t="s">
        <v>530</v>
      </c>
      <c r="K300" s="13" t="s">
        <v>1075</v>
      </c>
      <c r="L300" s="13" t="s">
        <v>42</v>
      </c>
      <c r="O300" s="8" t="s">
        <v>1076</v>
      </c>
      <c r="P300" s="8" t="s">
        <v>115</v>
      </c>
      <c r="Q300" s="8" t="s">
        <v>130</v>
      </c>
      <c r="R300" s="8" t="s">
        <v>408</v>
      </c>
      <c r="S300" s="8" t="s">
        <v>117</v>
      </c>
      <c r="T300" s="8" t="s">
        <v>128</v>
      </c>
      <c r="U300" s="14">
        <v>45776</v>
      </c>
      <c r="V300" s="14">
        <v>45772</v>
      </c>
      <c r="W300" s="8" t="s">
        <v>129</v>
      </c>
      <c r="X300" s="8" t="str">
        <f t="shared" si="102"/>
        <v>DHRUV MITAL/FSD/Exceedance/B737/25-04/32</v>
      </c>
      <c r="Y300" s="13" t="s">
        <v>1078</v>
      </c>
      <c r="Z300" s="14">
        <v>45772</v>
      </c>
    </row>
    <row r="301" spans="1:26" ht="15" customHeight="1" x14ac:dyDescent="0.2">
      <c r="A301" s="8">
        <v>303</v>
      </c>
      <c r="B301" s="8">
        <v>8365</v>
      </c>
      <c r="C301" s="12">
        <v>45770</v>
      </c>
      <c r="D301" s="13" t="s">
        <v>139</v>
      </c>
      <c r="E301" s="13" t="s">
        <v>267</v>
      </c>
      <c r="F301" s="13" t="s">
        <v>268</v>
      </c>
      <c r="G301" s="13" t="s">
        <v>342</v>
      </c>
      <c r="H301" s="13" t="s">
        <v>301</v>
      </c>
      <c r="I301" s="13" t="s">
        <v>1079</v>
      </c>
      <c r="J301" s="13">
        <v>40</v>
      </c>
      <c r="K301" s="13">
        <v>42.5</v>
      </c>
      <c r="L301" s="13" t="s">
        <v>42</v>
      </c>
      <c r="O301" s="8" t="s">
        <v>1080</v>
      </c>
      <c r="P301" s="8" t="s">
        <v>115</v>
      </c>
      <c r="Q301" s="8" t="s">
        <v>130</v>
      </c>
      <c r="R301" s="8" t="s">
        <v>219</v>
      </c>
      <c r="S301" s="8" t="s">
        <v>125</v>
      </c>
      <c r="T301" s="8" t="s">
        <v>128</v>
      </c>
      <c r="U301" s="14">
        <v>45775</v>
      </c>
      <c r="V301" s="14">
        <v>45772</v>
      </c>
      <c r="W301" s="8" t="s">
        <v>129</v>
      </c>
      <c r="X301" s="8" t="str">
        <f t="shared" si="102"/>
        <v>TANMAY GANESH KELUSKAR/FSD/Exceedance/B737/25-04/33</v>
      </c>
      <c r="Y301" s="13" t="s">
        <v>1081</v>
      </c>
      <c r="Z301" s="14">
        <v>45772</v>
      </c>
    </row>
    <row r="302" spans="1:26" ht="15" customHeight="1" x14ac:dyDescent="0.2">
      <c r="A302" s="8">
        <v>304</v>
      </c>
      <c r="B302" s="8">
        <v>8366</v>
      </c>
      <c r="C302" s="12">
        <v>45770</v>
      </c>
      <c r="D302" s="13" t="s">
        <v>131</v>
      </c>
      <c r="E302" s="13" t="s">
        <v>1082</v>
      </c>
      <c r="F302" s="13" t="s">
        <v>299</v>
      </c>
      <c r="G302" s="13" t="s">
        <v>1083</v>
      </c>
      <c r="H302" s="13" t="s">
        <v>365</v>
      </c>
      <c r="I302" s="13" t="s">
        <v>1084</v>
      </c>
      <c r="J302" s="13" t="s">
        <v>1085</v>
      </c>
      <c r="K302" s="13" t="s">
        <v>1086</v>
      </c>
      <c r="L302" s="13" t="s">
        <v>42</v>
      </c>
      <c r="O302" s="8" t="s">
        <v>1087</v>
      </c>
      <c r="P302" s="8" t="s">
        <v>115</v>
      </c>
      <c r="Q302" s="8" t="s">
        <v>130</v>
      </c>
      <c r="R302" s="8" t="s">
        <v>219</v>
      </c>
      <c r="S302" s="8" t="s">
        <v>117</v>
      </c>
      <c r="T302" s="8" t="s">
        <v>128</v>
      </c>
      <c r="U302" s="14">
        <v>45777</v>
      </c>
      <c r="V302" s="14">
        <v>45772</v>
      </c>
      <c r="W302" s="8" t="s">
        <v>129</v>
      </c>
      <c r="X302" s="8" t="str">
        <f t="shared" si="102"/>
        <v>RAJIV KUMAR MENDIRATTA/FSD/Exceedance/B737/25-04/34</v>
      </c>
      <c r="Y302" s="13" t="s">
        <v>1088</v>
      </c>
      <c r="Z302" s="14">
        <v>45772</v>
      </c>
    </row>
    <row r="303" spans="1:26" ht="15" customHeight="1" x14ac:dyDescent="0.2">
      <c r="A303" s="8">
        <v>305</v>
      </c>
      <c r="B303" s="8">
        <v>8367</v>
      </c>
      <c r="C303" s="12">
        <v>45770</v>
      </c>
      <c r="D303" s="13" t="s">
        <v>48</v>
      </c>
      <c r="E303" s="13" t="s">
        <v>1089</v>
      </c>
      <c r="F303" s="13" t="s">
        <v>258</v>
      </c>
      <c r="G303" s="13" t="s">
        <v>823</v>
      </c>
      <c r="H303" s="13" t="s">
        <v>419</v>
      </c>
      <c r="I303" s="8" t="s">
        <v>778</v>
      </c>
      <c r="J303" s="8">
        <v>950</v>
      </c>
      <c r="K303" s="8">
        <v>985</v>
      </c>
      <c r="L303" s="8" t="s">
        <v>716</v>
      </c>
      <c r="M303" s="13"/>
      <c r="O303" s="8" t="s">
        <v>1090</v>
      </c>
      <c r="P303" s="8" t="s">
        <v>115</v>
      </c>
      <c r="Q303" s="8" t="s">
        <v>130</v>
      </c>
      <c r="R303" s="8" t="s">
        <v>219</v>
      </c>
      <c r="S303" s="8" t="s">
        <v>125</v>
      </c>
      <c r="T303" s="8" t="s">
        <v>128</v>
      </c>
      <c r="U303" s="14">
        <v>45775</v>
      </c>
      <c r="V303" s="14">
        <v>45772</v>
      </c>
      <c r="W303" s="8" t="s">
        <v>129</v>
      </c>
      <c r="X303" s="8" t="str">
        <f t="shared" ref="X303:X306" si="103">G303&amp;AB$1&amp;O303</f>
        <v>ANEESH ATOORI/FSD/Exceedance/B737/25-04/35</v>
      </c>
      <c r="Y303" s="13" t="s">
        <v>1091</v>
      </c>
      <c r="Z303" s="14">
        <v>45772</v>
      </c>
    </row>
    <row r="304" spans="1:26" ht="15" customHeight="1" x14ac:dyDescent="0.2">
      <c r="A304" s="8">
        <v>306</v>
      </c>
      <c r="B304" s="8" t="s">
        <v>125</v>
      </c>
      <c r="C304" s="12">
        <v>45772</v>
      </c>
      <c r="D304" s="13" t="s">
        <v>131</v>
      </c>
      <c r="E304" s="13" t="s">
        <v>434</v>
      </c>
      <c r="F304" s="13" t="s">
        <v>487</v>
      </c>
      <c r="G304" s="13" t="s">
        <v>292</v>
      </c>
      <c r="H304" s="13" t="s">
        <v>288</v>
      </c>
      <c r="I304" s="8" t="s">
        <v>24</v>
      </c>
      <c r="J304" s="8">
        <v>1050</v>
      </c>
      <c r="K304" s="8">
        <v>1125</v>
      </c>
      <c r="L304" s="8" t="s">
        <v>25</v>
      </c>
      <c r="O304" s="8" t="s">
        <v>125</v>
      </c>
      <c r="P304" s="8" t="s">
        <v>123</v>
      </c>
      <c r="Q304" s="8" t="s">
        <v>125</v>
      </c>
      <c r="R304" s="21" t="s">
        <v>126</v>
      </c>
      <c r="S304" s="8" t="s">
        <v>125</v>
      </c>
      <c r="T304" s="8" t="s">
        <v>128</v>
      </c>
      <c r="U304" s="14"/>
      <c r="V304" s="8" t="s">
        <v>125</v>
      </c>
      <c r="W304" s="8" t="s">
        <v>129</v>
      </c>
      <c r="X304" s="8" t="s">
        <v>127</v>
      </c>
      <c r="Y304" s="13" t="s">
        <v>1092</v>
      </c>
      <c r="Z304" s="14">
        <v>45773</v>
      </c>
    </row>
    <row r="305" spans="1:26" ht="15" customHeight="1" x14ac:dyDescent="0.2">
      <c r="A305" s="8">
        <v>307</v>
      </c>
      <c r="B305" s="8">
        <v>8368</v>
      </c>
      <c r="C305" s="12">
        <v>45772</v>
      </c>
      <c r="D305" s="13" t="s">
        <v>48</v>
      </c>
      <c r="E305" s="13" t="s">
        <v>1089</v>
      </c>
      <c r="F305" s="13" t="s">
        <v>299</v>
      </c>
      <c r="G305" s="13" t="s">
        <v>829</v>
      </c>
      <c r="H305" s="13" t="s">
        <v>830</v>
      </c>
      <c r="I305" s="8" t="s">
        <v>778</v>
      </c>
      <c r="J305" s="8">
        <v>950</v>
      </c>
      <c r="K305" s="8">
        <v>961</v>
      </c>
      <c r="L305" s="8" t="s">
        <v>716</v>
      </c>
      <c r="O305" s="8" t="s">
        <v>1094</v>
      </c>
      <c r="P305" s="13" t="s">
        <v>115</v>
      </c>
      <c r="Q305" s="8" t="s">
        <v>130</v>
      </c>
      <c r="R305" s="8" t="s">
        <v>219</v>
      </c>
      <c r="S305" s="8" t="s">
        <v>125</v>
      </c>
      <c r="T305" s="8" t="s">
        <v>128</v>
      </c>
      <c r="U305" s="14">
        <v>45775</v>
      </c>
      <c r="V305" s="20">
        <v>45773</v>
      </c>
      <c r="W305" s="8" t="s">
        <v>129</v>
      </c>
      <c r="X305" s="8" t="str">
        <f t="shared" si="103"/>
        <v>PUNEET SHARMA/FSD/Exceedance/B737/25-04/36</v>
      </c>
      <c r="Y305" s="13" t="s">
        <v>1093</v>
      </c>
      <c r="Z305" s="14">
        <v>45773</v>
      </c>
    </row>
    <row r="306" spans="1:26" ht="15" customHeight="1" x14ac:dyDescent="0.2">
      <c r="A306" s="8">
        <v>308</v>
      </c>
      <c r="B306" s="8">
        <v>8369</v>
      </c>
      <c r="C306" s="14">
        <v>45773</v>
      </c>
      <c r="D306" s="8" t="s">
        <v>54</v>
      </c>
      <c r="E306" s="8" t="s">
        <v>1053</v>
      </c>
      <c r="F306" s="8" t="s">
        <v>1054</v>
      </c>
      <c r="G306" s="8" t="s">
        <v>194</v>
      </c>
      <c r="H306" s="8" t="s">
        <v>200</v>
      </c>
      <c r="I306" s="8" t="s">
        <v>447</v>
      </c>
      <c r="J306" s="8">
        <v>162</v>
      </c>
      <c r="K306" s="8">
        <v>164.3</v>
      </c>
      <c r="L306" s="4" t="s">
        <v>42</v>
      </c>
      <c r="O306" s="8" t="s">
        <v>1098</v>
      </c>
      <c r="P306" s="8" t="s">
        <v>115</v>
      </c>
      <c r="Q306" s="8" t="s">
        <v>130</v>
      </c>
      <c r="R306" s="8" t="s">
        <v>1131</v>
      </c>
      <c r="S306" s="8" t="s">
        <v>117</v>
      </c>
      <c r="T306" s="8" t="s">
        <v>1100</v>
      </c>
      <c r="U306" s="20">
        <v>45777</v>
      </c>
      <c r="V306" s="20">
        <v>45774</v>
      </c>
      <c r="W306" s="8" t="s">
        <v>129</v>
      </c>
      <c r="X306" s="8" t="str">
        <f t="shared" si="103"/>
        <v>MAHENDRA KUVARJI CHHEDA/FSD/Exceedance/B737/25-04/37</v>
      </c>
      <c r="Y306" s="13" t="s">
        <v>1096</v>
      </c>
      <c r="Z306" s="14">
        <v>45774</v>
      </c>
    </row>
    <row r="307" spans="1:26" ht="15" customHeight="1" x14ac:dyDescent="0.2">
      <c r="A307" s="8">
        <v>309</v>
      </c>
      <c r="B307" s="8" t="s">
        <v>125</v>
      </c>
      <c r="C307" s="14">
        <v>45773</v>
      </c>
      <c r="D307" s="8" t="s">
        <v>66</v>
      </c>
      <c r="E307" s="8" t="s">
        <v>44</v>
      </c>
      <c r="F307" s="8" t="s">
        <v>45</v>
      </c>
      <c r="G307" s="8" t="s">
        <v>259</v>
      </c>
      <c r="H307" s="8" t="s">
        <v>664</v>
      </c>
      <c r="I307" s="8" t="s">
        <v>27</v>
      </c>
      <c r="J307" s="8" t="s">
        <v>28</v>
      </c>
      <c r="K307" s="8" t="s">
        <v>1095</v>
      </c>
      <c r="L307" s="4" t="s">
        <v>26</v>
      </c>
      <c r="O307" s="8" t="s">
        <v>1099</v>
      </c>
      <c r="P307" s="8" t="s">
        <v>123</v>
      </c>
      <c r="Q307" s="8" t="s">
        <v>125</v>
      </c>
      <c r="R307" s="21" t="s">
        <v>126</v>
      </c>
      <c r="S307" s="8" t="s">
        <v>125</v>
      </c>
      <c r="T307" s="8" t="s">
        <v>128</v>
      </c>
      <c r="U307" s="20">
        <v>45775</v>
      </c>
      <c r="V307" s="20"/>
      <c r="W307" s="8" t="s">
        <v>129</v>
      </c>
      <c r="X307" s="8" t="s">
        <v>127</v>
      </c>
      <c r="Y307" s="13" t="s">
        <v>1097</v>
      </c>
      <c r="Z307" s="14">
        <v>45774</v>
      </c>
    </row>
    <row r="308" spans="1:26" ht="15" customHeight="1" x14ac:dyDescent="0.2">
      <c r="A308" s="8">
        <v>310</v>
      </c>
      <c r="B308" s="8" t="s">
        <v>125</v>
      </c>
      <c r="C308" s="14">
        <v>45774</v>
      </c>
      <c r="D308" s="8" t="s">
        <v>249</v>
      </c>
      <c r="E308" s="8" t="s">
        <v>1033</v>
      </c>
      <c r="F308" s="8" t="s">
        <v>373</v>
      </c>
      <c r="G308" s="8" t="s">
        <v>374</v>
      </c>
      <c r="H308" s="8" t="s">
        <v>288</v>
      </c>
      <c r="I308" s="8" t="s">
        <v>313</v>
      </c>
      <c r="K308" s="8">
        <v>16</v>
      </c>
      <c r="L308" s="4" t="s">
        <v>26</v>
      </c>
      <c r="O308" s="8" t="s">
        <v>125</v>
      </c>
      <c r="P308" s="8" t="s">
        <v>123</v>
      </c>
      <c r="Q308" s="8" t="s">
        <v>125</v>
      </c>
      <c r="R308" s="21" t="s">
        <v>126</v>
      </c>
      <c r="S308" s="8" t="s">
        <v>125</v>
      </c>
      <c r="T308" s="8" t="s">
        <v>128</v>
      </c>
      <c r="U308" s="20">
        <v>45776</v>
      </c>
      <c r="V308" s="20"/>
      <c r="W308" s="8" t="s">
        <v>129</v>
      </c>
      <c r="X308" s="8" t="s">
        <v>127</v>
      </c>
      <c r="Y308" s="13" t="s">
        <v>1102</v>
      </c>
      <c r="Z308" s="14">
        <v>45775</v>
      </c>
    </row>
    <row r="309" spans="1:26" ht="15" customHeight="1" x14ac:dyDescent="0.2">
      <c r="A309" s="8">
        <v>311</v>
      </c>
      <c r="B309" s="8" t="s">
        <v>125</v>
      </c>
      <c r="C309" s="14">
        <v>45774</v>
      </c>
      <c r="D309" s="8" t="s">
        <v>256</v>
      </c>
      <c r="E309" s="8" t="s">
        <v>1101</v>
      </c>
      <c r="F309" s="8" t="s">
        <v>193</v>
      </c>
      <c r="G309" s="8" t="s">
        <v>194</v>
      </c>
      <c r="H309" s="8" t="s">
        <v>1072</v>
      </c>
      <c r="I309" s="8" t="s">
        <v>196</v>
      </c>
      <c r="J309" s="8">
        <v>4</v>
      </c>
      <c r="K309" s="8">
        <v>4.05</v>
      </c>
      <c r="L309" s="4" t="s">
        <v>441</v>
      </c>
      <c r="O309" s="8" t="s">
        <v>125</v>
      </c>
      <c r="P309" s="8" t="s">
        <v>123</v>
      </c>
      <c r="Q309" s="8" t="s">
        <v>125</v>
      </c>
      <c r="R309" s="21" t="s">
        <v>126</v>
      </c>
      <c r="S309" s="8" t="s">
        <v>125</v>
      </c>
      <c r="T309" s="8" t="s">
        <v>128</v>
      </c>
      <c r="U309" s="20">
        <v>45776</v>
      </c>
      <c r="V309" s="20"/>
      <c r="W309" s="8" t="s">
        <v>129</v>
      </c>
      <c r="X309" s="8" t="s">
        <v>127</v>
      </c>
      <c r="Y309" s="13" t="s">
        <v>1103</v>
      </c>
      <c r="Z309" s="14">
        <v>45775</v>
      </c>
    </row>
    <row r="310" spans="1:26" ht="15" customHeight="1" x14ac:dyDescent="0.2">
      <c r="A310" s="8">
        <v>312</v>
      </c>
      <c r="B310" s="8" t="s">
        <v>125</v>
      </c>
      <c r="C310" s="14">
        <v>45775</v>
      </c>
      <c r="D310" s="8" t="s">
        <v>40</v>
      </c>
      <c r="E310" s="8" t="s">
        <v>997</v>
      </c>
      <c r="F310" s="8" t="s">
        <v>411</v>
      </c>
      <c r="G310" s="8" t="s">
        <v>274</v>
      </c>
      <c r="H310" s="8" t="s">
        <v>348</v>
      </c>
      <c r="I310" s="8" t="s">
        <v>27</v>
      </c>
      <c r="J310" s="8" t="s">
        <v>28</v>
      </c>
      <c r="K310" s="8" t="s">
        <v>1104</v>
      </c>
      <c r="L310" s="8" t="s">
        <v>26</v>
      </c>
      <c r="O310" s="8" t="s">
        <v>1110</v>
      </c>
      <c r="P310" s="8" t="s">
        <v>123</v>
      </c>
      <c r="Q310" s="8" t="s">
        <v>125</v>
      </c>
      <c r="R310" s="21" t="s">
        <v>126</v>
      </c>
      <c r="S310" s="8" t="s">
        <v>125</v>
      </c>
      <c r="T310" s="8" t="s">
        <v>128</v>
      </c>
      <c r="U310" s="20">
        <v>45777</v>
      </c>
      <c r="V310" s="8" t="s">
        <v>125</v>
      </c>
      <c r="W310" s="8" t="s">
        <v>129</v>
      </c>
      <c r="X310" s="8" t="s">
        <v>127</v>
      </c>
      <c r="Y310" s="8" t="s">
        <v>1112</v>
      </c>
      <c r="Z310" s="14">
        <v>45776</v>
      </c>
    </row>
    <row r="311" spans="1:26" ht="15" customHeight="1" x14ac:dyDescent="0.2">
      <c r="A311" s="8">
        <v>313</v>
      </c>
      <c r="B311" s="8" t="s">
        <v>125</v>
      </c>
      <c r="C311" s="15">
        <v>45775</v>
      </c>
      <c r="D311" s="13" t="s">
        <v>54</v>
      </c>
      <c r="E311" s="13" t="s">
        <v>1105</v>
      </c>
      <c r="F311" s="16" t="s">
        <v>32</v>
      </c>
      <c r="G311" s="13" t="s">
        <v>46</v>
      </c>
      <c r="H311" s="13" t="s">
        <v>92</v>
      </c>
      <c r="I311" s="8" t="s">
        <v>27</v>
      </c>
      <c r="J311" s="8" t="s">
        <v>28</v>
      </c>
      <c r="K311" s="8" t="s">
        <v>1117</v>
      </c>
      <c r="L311" s="8" t="s">
        <v>26</v>
      </c>
      <c r="O311" s="8" t="s">
        <v>1111</v>
      </c>
      <c r="P311" s="8" t="s">
        <v>157</v>
      </c>
      <c r="Q311" s="8" t="s">
        <v>125</v>
      </c>
      <c r="R311" s="8" t="s">
        <v>126</v>
      </c>
      <c r="S311" s="8" t="s">
        <v>125</v>
      </c>
      <c r="T311" s="8" t="s">
        <v>128</v>
      </c>
      <c r="U311" s="20">
        <v>45777</v>
      </c>
      <c r="V311" s="8" t="s">
        <v>125</v>
      </c>
      <c r="W311" s="8" t="s">
        <v>129</v>
      </c>
      <c r="X311" s="8" t="s">
        <v>127</v>
      </c>
      <c r="Y311" s="8" t="s">
        <v>1118</v>
      </c>
      <c r="Z311" s="14">
        <v>45776</v>
      </c>
    </row>
    <row r="312" spans="1:26" ht="15" customHeight="1" x14ac:dyDescent="0.2">
      <c r="A312" s="8">
        <v>314</v>
      </c>
      <c r="B312" s="8" t="s">
        <v>125</v>
      </c>
      <c r="C312" s="14">
        <v>45775</v>
      </c>
      <c r="D312" s="8" t="s">
        <v>191</v>
      </c>
      <c r="E312" s="8" t="s">
        <v>145</v>
      </c>
      <c r="F312" s="8" t="s">
        <v>251</v>
      </c>
      <c r="G312" s="8" t="s">
        <v>231</v>
      </c>
      <c r="H312" s="8" t="s">
        <v>651</v>
      </c>
      <c r="I312" s="8" t="s">
        <v>24</v>
      </c>
      <c r="J312" s="8">
        <v>1050</v>
      </c>
      <c r="K312" s="8">
        <v>1110</v>
      </c>
      <c r="L312" s="8" t="s">
        <v>25</v>
      </c>
      <c r="O312" s="8" t="s">
        <v>125</v>
      </c>
      <c r="P312" s="8" t="s">
        <v>123</v>
      </c>
      <c r="Q312" s="8" t="s">
        <v>125</v>
      </c>
      <c r="R312" s="21" t="s">
        <v>126</v>
      </c>
      <c r="S312" s="8" t="s">
        <v>125</v>
      </c>
      <c r="T312" s="8" t="s">
        <v>128</v>
      </c>
      <c r="U312" s="20">
        <v>45777</v>
      </c>
      <c r="V312" s="8" t="s">
        <v>125</v>
      </c>
      <c r="W312" s="8" t="s">
        <v>129</v>
      </c>
      <c r="X312" s="8" t="s">
        <v>127</v>
      </c>
      <c r="Y312" s="13" t="s">
        <v>1113</v>
      </c>
      <c r="Z312" s="14">
        <v>45776</v>
      </c>
    </row>
    <row r="313" spans="1:26" ht="15" customHeight="1" x14ac:dyDescent="0.2">
      <c r="A313" s="8">
        <v>315</v>
      </c>
      <c r="B313" s="8" t="s">
        <v>125</v>
      </c>
      <c r="C313" s="14">
        <v>45774</v>
      </c>
      <c r="D313" s="8" t="s">
        <v>54</v>
      </c>
      <c r="E313" s="8" t="s">
        <v>1107</v>
      </c>
      <c r="F313" s="8" t="s">
        <v>1108</v>
      </c>
      <c r="G313" s="8" t="s">
        <v>785</v>
      </c>
      <c r="H313" s="8" t="s">
        <v>389</v>
      </c>
      <c r="I313" s="8" t="s">
        <v>391</v>
      </c>
      <c r="J313" s="8" t="s">
        <v>392</v>
      </c>
      <c r="K313" s="8" t="s">
        <v>1109</v>
      </c>
      <c r="L313" s="8" t="s">
        <v>42</v>
      </c>
      <c r="O313" s="8" t="s">
        <v>125</v>
      </c>
      <c r="P313" s="8" t="s">
        <v>123</v>
      </c>
      <c r="Q313" s="8" t="s">
        <v>125</v>
      </c>
      <c r="R313" s="21" t="s">
        <v>126</v>
      </c>
      <c r="S313" s="8" t="s">
        <v>125</v>
      </c>
      <c r="T313" s="8" t="s">
        <v>128</v>
      </c>
      <c r="U313" s="20">
        <v>45777</v>
      </c>
      <c r="V313" s="8" t="s">
        <v>125</v>
      </c>
      <c r="W313" s="8" t="s">
        <v>129</v>
      </c>
      <c r="X313" s="8" t="s">
        <v>127</v>
      </c>
      <c r="Y313" s="13" t="s">
        <v>1114</v>
      </c>
      <c r="Z313" s="14">
        <v>45776</v>
      </c>
    </row>
    <row r="314" spans="1:26" ht="15" customHeight="1" x14ac:dyDescent="0.2">
      <c r="A314" s="8">
        <v>316</v>
      </c>
      <c r="B314" s="8" t="s">
        <v>125</v>
      </c>
      <c r="C314" s="14">
        <v>45774</v>
      </c>
      <c r="D314" s="8" t="s">
        <v>139</v>
      </c>
      <c r="E314" s="8" t="s">
        <v>935</v>
      </c>
      <c r="F314" s="8" t="s">
        <v>936</v>
      </c>
      <c r="G314" s="8" t="s">
        <v>112</v>
      </c>
      <c r="H314" s="8" t="s">
        <v>135</v>
      </c>
      <c r="I314" s="8" t="s">
        <v>136</v>
      </c>
      <c r="J314" s="8" t="s">
        <v>137</v>
      </c>
      <c r="K314" s="8" t="s">
        <v>138</v>
      </c>
      <c r="L314" s="8" t="s">
        <v>42</v>
      </c>
      <c r="O314" s="8" t="s">
        <v>125</v>
      </c>
      <c r="P314" s="8" t="s">
        <v>123</v>
      </c>
      <c r="Q314" s="8" t="s">
        <v>125</v>
      </c>
      <c r="R314" s="21" t="s">
        <v>126</v>
      </c>
      <c r="S314" s="8" t="s">
        <v>125</v>
      </c>
      <c r="T314" s="8" t="s">
        <v>128</v>
      </c>
      <c r="U314" s="20">
        <v>45777</v>
      </c>
      <c r="V314" s="8" t="s">
        <v>125</v>
      </c>
      <c r="W314" s="8" t="s">
        <v>129</v>
      </c>
      <c r="X314" s="8" t="s">
        <v>127</v>
      </c>
      <c r="Y314" s="13" t="s">
        <v>1115</v>
      </c>
      <c r="Z314" s="14">
        <v>45776</v>
      </c>
    </row>
    <row r="315" spans="1:26" ht="15" customHeight="1" x14ac:dyDescent="0.2">
      <c r="A315" s="8">
        <v>317</v>
      </c>
      <c r="B315" s="8" t="s">
        <v>125</v>
      </c>
      <c r="C315" s="14">
        <v>45773</v>
      </c>
      <c r="D315" s="8" t="s">
        <v>412</v>
      </c>
      <c r="E315" s="8" t="s">
        <v>233</v>
      </c>
      <c r="F315" s="8" t="s">
        <v>234</v>
      </c>
      <c r="G315" s="8" t="s">
        <v>222</v>
      </c>
      <c r="H315" s="8" t="s">
        <v>679</v>
      </c>
      <c r="I315" s="8" t="s">
        <v>57</v>
      </c>
      <c r="J315" s="8">
        <v>30</v>
      </c>
      <c r="K315" s="8">
        <v>31.2</v>
      </c>
      <c r="L315" s="8" t="s">
        <v>271</v>
      </c>
      <c r="O315" s="8" t="s">
        <v>125</v>
      </c>
      <c r="P315" s="8" t="s">
        <v>123</v>
      </c>
      <c r="Q315" s="8" t="s">
        <v>125</v>
      </c>
      <c r="R315" s="21" t="s">
        <v>126</v>
      </c>
      <c r="S315" s="8" t="s">
        <v>125</v>
      </c>
      <c r="T315" s="8" t="s">
        <v>128</v>
      </c>
      <c r="U315" s="20">
        <v>45777</v>
      </c>
      <c r="V315" s="8" t="s">
        <v>125</v>
      </c>
      <c r="W315" s="8" t="s">
        <v>129</v>
      </c>
      <c r="X315" s="8" t="s">
        <v>127</v>
      </c>
      <c r="Y315" s="13" t="s">
        <v>1116</v>
      </c>
      <c r="Z315" s="14">
        <v>45776</v>
      </c>
    </row>
    <row r="316" spans="1:26" ht="15" customHeight="1" x14ac:dyDescent="0.2">
      <c r="A316" s="8">
        <v>318</v>
      </c>
      <c r="B316" s="8" t="s">
        <v>125</v>
      </c>
      <c r="C316" s="43">
        <v>45775</v>
      </c>
      <c r="D316" s="44" t="s">
        <v>37</v>
      </c>
      <c r="E316" s="44" t="s">
        <v>1020</v>
      </c>
      <c r="F316" s="44" t="s">
        <v>111</v>
      </c>
      <c r="G316" s="44" t="s">
        <v>684</v>
      </c>
      <c r="H316" s="44" t="s">
        <v>812</v>
      </c>
      <c r="I316" s="44" t="s">
        <v>27</v>
      </c>
      <c r="J316" s="44" t="s">
        <v>28</v>
      </c>
      <c r="K316" s="44" t="s">
        <v>1106</v>
      </c>
      <c r="L316" s="44" t="s">
        <v>26</v>
      </c>
      <c r="O316" s="8" t="s">
        <v>1121</v>
      </c>
      <c r="P316" s="13" t="s">
        <v>157</v>
      </c>
      <c r="Q316" s="8" t="s">
        <v>125</v>
      </c>
      <c r="R316" s="21" t="s">
        <v>126</v>
      </c>
      <c r="S316" s="8" t="s">
        <v>125</v>
      </c>
      <c r="T316" s="8" t="s">
        <v>128</v>
      </c>
      <c r="U316" s="14">
        <v>45778</v>
      </c>
      <c r="X316" s="8" t="s">
        <v>127</v>
      </c>
      <c r="Y316" s="8" t="s">
        <v>1124</v>
      </c>
      <c r="Z316" s="14">
        <v>45777</v>
      </c>
    </row>
    <row r="317" spans="1:26" ht="15" customHeight="1" x14ac:dyDescent="0.2">
      <c r="A317" s="8">
        <v>319</v>
      </c>
      <c r="B317" s="8" t="s">
        <v>125</v>
      </c>
      <c r="C317" s="43">
        <v>45776</v>
      </c>
      <c r="D317" s="44" t="s">
        <v>40</v>
      </c>
      <c r="E317" s="44" t="s">
        <v>943</v>
      </c>
      <c r="F317" s="44" t="s">
        <v>465</v>
      </c>
      <c r="G317" s="44" t="s">
        <v>448</v>
      </c>
      <c r="H317" s="44" t="s">
        <v>241</v>
      </c>
      <c r="I317" s="44" t="s">
        <v>27</v>
      </c>
      <c r="J317" s="44" t="s">
        <v>28</v>
      </c>
      <c r="K317" s="44" t="s">
        <v>1119</v>
      </c>
      <c r="L317" s="44" t="s">
        <v>26</v>
      </c>
      <c r="O317" s="8" t="s">
        <v>1122</v>
      </c>
      <c r="P317" s="13" t="s">
        <v>157</v>
      </c>
      <c r="Q317" s="8" t="s">
        <v>125</v>
      </c>
      <c r="R317" s="21" t="s">
        <v>126</v>
      </c>
      <c r="S317" s="8" t="s">
        <v>125</v>
      </c>
      <c r="T317" s="8" t="s">
        <v>128</v>
      </c>
      <c r="U317" s="14">
        <v>45778</v>
      </c>
      <c r="V317" s="20"/>
      <c r="X317" s="8" t="s">
        <v>127</v>
      </c>
      <c r="Y317" s="8" t="s">
        <v>1125</v>
      </c>
      <c r="Z317" s="14">
        <v>45777</v>
      </c>
    </row>
    <row r="318" spans="1:26" ht="15" customHeight="1" x14ac:dyDescent="0.2">
      <c r="A318" s="8">
        <v>320</v>
      </c>
      <c r="B318" s="8" t="s">
        <v>125</v>
      </c>
      <c r="C318" s="43">
        <v>45776</v>
      </c>
      <c r="D318" s="44" t="s">
        <v>40</v>
      </c>
      <c r="E318" s="44" t="s">
        <v>943</v>
      </c>
      <c r="F318" s="44" t="s">
        <v>465</v>
      </c>
      <c r="G318" s="44" t="s">
        <v>448</v>
      </c>
      <c r="H318" s="44" t="s">
        <v>241</v>
      </c>
      <c r="I318" s="44" t="s">
        <v>313</v>
      </c>
      <c r="J318" s="44"/>
      <c r="K318" s="44" t="s">
        <v>1120</v>
      </c>
      <c r="L318" s="44" t="s">
        <v>26</v>
      </c>
      <c r="O318" s="8" t="s">
        <v>125</v>
      </c>
      <c r="P318" s="8" t="s">
        <v>123</v>
      </c>
      <c r="Q318" s="8" t="s">
        <v>125</v>
      </c>
      <c r="R318" s="21" t="s">
        <v>126</v>
      </c>
      <c r="S318" s="8" t="s">
        <v>125</v>
      </c>
      <c r="T318" s="8" t="s">
        <v>128</v>
      </c>
      <c r="U318" s="14">
        <v>45778</v>
      </c>
      <c r="X318" s="8" t="s">
        <v>127</v>
      </c>
      <c r="Y318" s="13" t="s">
        <v>1126</v>
      </c>
      <c r="Z318" s="14">
        <v>45777</v>
      </c>
    </row>
    <row r="319" spans="1:26" ht="15" customHeight="1" x14ac:dyDescent="0.2">
      <c r="A319" s="8">
        <v>321</v>
      </c>
      <c r="B319" s="8" t="s">
        <v>125</v>
      </c>
      <c r="C319" s="47">
        <v>45776</v>
      </c>
      <c r="D319" s="32" t="s">
        <v>48</v>
      </c>
      <c r="E319" s="32" t="s">
        <v>1033</v>
      </c>
      <c r="F319" s="32" t="s">
        <v>1032</v>
      </c>
      <c r="G319" s="32" t="s">
        <v>166</v>
      </c>
      <c r="H319" s="32" t="s">
        <v>77</v>
      </c>
      <c r="I319" s="44" t="s">
        <v>57</v>
      </c>
      <c r="J319" s="44">
        <v>30</v>
      </c>
      <c r="K319" s="44">
        <v>32</v>
      </c>
      <c r="L319" s="44" t="s">
        <v>271</v>
      </c>
      <c r="O319" s="8" t="s">
        <v>125</v>
      </c>
      <c r="P319" s="8" t="s">
        <v>123</v>
      </c>
      <c r="Q319" s="8" t="s">
        <v>125</v>
      </c>
      <c r="R319" s="21" t="s">
        <v>126</v>
      </c>
      <c r="S319" s="8" t="s">
        <v>125</v>
      </c>
      <c r="T319" s="8" t="s">
        <v>128</v>
      </c>
      <c r="U319" s="14">
        <v>45778</v>
      </c>
      <c r="X319" s="8" t="s">
        <v>127</v>
      </c>
      <c r="Y319" s="13" t="s">
        <v>1127</v>
      </c>
      <c r="Z319" s="14">
        <v>45777</v>
      </c>
    </row>
    <row r="320" spans="1:26" ht="15" customHeight="1" x14ac:dyDescent="0.2">
      <c r="A320" s="8">
        <v>322</v>
      </c>
      <c r="B320" s="8">
        <v>8383</v>
      </c>
      <c r="C320" s="43">
        <v>45776</v>
      </c>
      <c r="D320" s="44" t="s">
        <v>48</v>
      </c>
      <c r="E320" s="44" t="s">
        <v>1033</v>
      </c>
      <c r="F320" s="44" t="s">
        <v>1032</v>
      </c>
      <c r="G320" s="32" t="s">
        <v>166</v>
      </c>
      <c r="H320" s="32" t="s">
        <v>77</v>
      </c>
      <c r="I320" s="44" t="s">
        <v>58</v>
      </c>
      <c r="J320" s="44">
        <v>1000</v>
      </c>
      <c r="K320" s="44">
        <v>882</v>
      </c>
      <c r="L320" s="44" t="s">
        <v>26</v>
      </c>
      <c r="O320" s="8" t="s">
        <v>1123</v>
      </c>
      <c r="P320" s="8" t="s">
        <v>115</v>
      </c>
      <c r="Q320" s="8" t="s">
        <v>130</v>
      </c>
      <c r="R320" s="8" t="s">
        <v>1268</v>
      </c>
      <c r="S320" s="8" t="s">
        <v>117</v>
      </c>
      <c r="T320" s="8" t="s">
        <v>1100</v>
      </c>
      <c r="U320" s="14">
        <v>45797</v>
      </c>
      <c r="V320" s="20">
        <v>45777</v>
      </c>
      <c r="X320" s="8" t="str">
        <f t="shared" ref="X320:X328" si="104">G320&amp;AB$1&amp;O320</f>
        <v>SUDHIR SHARMA/FSD/Exceedance/B737/25-04/43</v>
      </c>
      <c r="Y320" s="13" t="s">
        <v>1128</v>
      </c>
      <c r="Z320" s="14">
        <v>45777</v>
      </c>
    </row>
    <row r="321" spans="1:26" ht="15" customHeight="1" x14ac:dyDescent="0.2">
      <c r="A321" s="8">
        <v>323</v>
      </c>
      <c r="B321" s="8">
        <v>8384</v>
      </c>
      <c r="C321" s="14">
        <v>45776</v>
      </c>
      <c r="D321" s="8" t="s">
        <v>66</v>
      </c>
      <c r="E321" s="8" t="s">
        <v>44</v>
      </c>
      <c r="F321" s="8" t="s">
        <v>45</v>
      </c>
      <c r="G321" s="13" t="s">
        <v>646</v>
      </c>
      <c r="H321" s="13" t="s">
        <v>499</v>
      </c>
      <c r="I321" s="8" t="s">
        <v>261</v>
      </c>
      <c r="J321" s="8">
        <v>30</v>
      </c>
      <c r="K321" s="8">
        <v>31.5</v>
      </c>
      <c r="L321" s="8" t="s">
        <v>784</v>
      </c>
      <c r="O321" s="8" t="s">
        <v>1129</v>
      </c>
      <c r="P321" s="8" t="s">
        <v>115</v>
      </c>
      <c r="Q321" s="8" t="s">
        <v>130</v>
      </c>
      <c r="R321" s="8" t="s">
        <v>219</v>
      </c>
      <c r="S321" s="8" t="s">
        <v>125</v>
      </c>
      <c r="T321" s="8" t="s">
        <v>1100</v>
      </c>
      <c r="U321" s="14">
        <v>45778</v>
      </c>
      <c r="V321" s="20">
        <v>45777</v>
      </c>
      <c r="X321" s="8" t="str">
        <f t="shared" si="104"/>
        <v>NITIN DEV SAVLODIA/FSD/Exceedance/B737/25-04/44</v>
      </c>
      <c r="Y321" s="13" t="s">
        <v>1130</v>
      </c>
      <c r="Z321" s="14">
        <v>45777</v>
      </c>
    </row>
    <row r="322" spans="1:26" ht="15" customHeight="1" x14ac:dyDescent="0.2">
      <c r="A322" s="8">
        <v>324</v>
      </c>
      <c r="B322" s="8" t="s">
        <v>125</v>
      </c>
      <c r="C322" s="12">
        <v>45776</v>
      </c>
      <c r="D322" s="8" t="s">
        <v>168</v>
      </c>
      <c r="E322" s="8" t="s">
        <v>1132</v>
      </c>
      <c r="F322" s="8" t="s">
        <v>1133</v>
      </c>
      <c r="G322" s="8" t="s">
        <v>1134</v>
      </c>
      <c r="H322" s="8" t="s">
        <v>516</v>
      </c>
      <c r="I322" s="8" t="s">
        <v>391</v>
      </c>
      <c r="J322" s="8" t="s">
        <v>392</v>
      </c>
      <c r="K322" s="8" t="s">
        <v>675</v>
      </c>
      <c r="L322" s="8" t="s">
        <v>42</v>
      </c>
      <c r="O322" s="8" t="s">
        <v>125</v>
      </c>
      <c r="P322" s="8" t="s">
        <v>123</v>
      </c>
      <c r="Q322" s="8" t="s">
        <v>125</v>
      </c>
      <c r="R322" s="8" t="s">
        <v>126</v>
      </c>
      <c r="S322" s="8" t="s">
        <v>125</v>
      </c>
      <c r="T322" s="8" t="s">
        <v>128</v>
      </c>
      <c r="U322" s="14">
        <v>45778</v>
      </c>
      <c r="V322" s="20">
        <v>45777</v>
      </c>
      <c r="X322" s="8" t="s">
        <v>127</v>
      </c>
      <c r="Y322" t="s">
        <v>1135</v>
      </c>
      <c r="Z322" s="14">
        <v>45777</v>
      </c>
    </row>
    <row r="323" spans="1:26" ht="15" customHeight="1" x14ac:dyDescent="0.2">
      <c r="A323" s="8">
        <v>325</v>
      </c>
      <c r="B323" s="8">
        <v>8388</v>
      </c>
      <c r="C323" s="14">
        <v>45777</v>
      </c>
      <c r="D323" s="8" t="s">
        <v>168</v>
      </c>
      <c r="E323" s="8" t="s">
        <v>1136</v>
      </c>
      <c r="F323" s="8" t="s">
        <v>165</v>
      </c>
      <c r="G323" s="8" t="s">
        <v>222</v>
      </c>
      <c r="H323" s="8" t="s">
        <v>679</v>
      </c>
      <c r="I323" s="8" t="s">
        <v>53</v>
      </c>
      <c r="J323" s="8">
        <v>300</v>
      </c>
      <c r="K323" s="8">
        <v>60</v>
      </c>
      <c r="L323" s="8" t="s">
        <v>25</v>
      </c>
      <c r="O323" s="8" t="s">
        <v>1138</v>
      </c>
      <c r="P323" s="8" t="s">
        <v>115</v>
      </c>
      <c r="Q323" s="8" t="s">
        <v>130</v>
      </c>
      <c r="R323" s="8" t="s">
        <v>1335</v>
      </c>
      <c r="S323" s="8" t="s">
        <v>117</v>
      </c>
      <c r="T323" s="8" t="s">
        <v>1100</v>
      </c>
      <c r="U323" s="14">
        <v>45806</v>
      </c>
      <c r="V323" s="14">
        <v>45778</v>
      </c>
      <c r="X323" s="8" t="str">
        <f t="shared" si="104"/>
        <v>RASHMI SHARMA/FSD/Exceedance/B737/25-04/45</v>
      </c>
      <c r="Y323" s="48" t="s">
        <v>1137</v>
      </c>
      <c r="Z323" s="14">
        <v>45778</v>
      </c>
    </row>
    <row r="324" spans="1:26" ht="15" customHeight="1" x14ac:dyDescent="0.2">
      <c r="A324" s="8">
        <v>326</v>
      </c>
      <c r="B324" s="8" t="s">
        <v>125</v>
      </c>
      <c r="C324" s="14">
        <v>45777</v>
      </c>
      <c r="D324" s="8" t="s">
        <v>412</v>
      </c>
      <c r="E324" s="8" t="s">
        <v>233</v>
      </c>
      <c r="F324" s="8" t="s">
        <v>234</v>
      </c>
      <c r="G324" s="8" t="s">
        <v>647</v>
      </c>
      <c r="H324" s="8" t="s">
        <v>225</v>
      </c>
      <c r="I324" s="8" t="s">
        <v>27</v>
      </c>
      <c r="J324" s="8" t="s">
        <v>28</v>
      </c>
      <c r="K324" s="8" t="s">
        <v>1139</v>
      </c>
      <c r="L324" s="8" t="s">
        <v>26</v>
      </c>
      <c r="O324" s="8" t="s">
        <v>1140</v>
      </c>
      <c r="P324" s="13" t="s">
        <v>157</v>
      </c>
      <c r="Q324" s="8" t="s">
        <v>125</v>
      </c>
      <c r="R324" s="8" t="s">
        <v>126</v>
      </c>
      <c r="S324" s="8" t="s">
        <v>125</v>
      </c>
      <c r="T324" s="8" t="s">
        <v>128</v>
      </c>
      <c r="U324" s="14">
        <v>45780</v>
      </c>
      <c r="V324" s="8" t="s">
        <v>125</v>
      </c>
      <c r="X324" s="8" t="s">
        <v>127</v>
      </c>
      <c r="Y324" s="13" t="s">
        <v>1141</v>
      </c>
      <c r="Z324" s="14">
        <v>45779</v>
      </c>
    </row>
    <row r="325" spans="1:26" ht="15" customHeight="1" x14ac:dyDescent="0.2">
      <c r="A325" s="8">
        <v>327</v>
      </c>
      <c r="B325" s="8">
        <v>8394</v>
      </c>
      <c r="C325" s="14">
        <v>45778</v>
      </c>
      <c r="D325" s="8" t="s">
        <v>54</v>
      </c>
      <c r="E325" s="8" t="s">
        <v>162</v>
      </c>
      <c r="F325" s="8" t="s">
        <v>1142</v>
      </c>
      <c r="G325" s="8" t="s">
        <v>46</v>
      </c>
      <c r="H325" s="8" t="s">
        <v>343</v>
      </c>
      <c r="I325" s="8" t="s">
        <v>529</v>
      </c>
      <c r="J325" s="8" t="s">
        <v>69</v>
      </c>
      <c r="K325" s="8" t="s">
        <v>1143</v>
      </c>
      <c r="L325" s="4" t="s">
        <v>42</v>
      </c>
      <c r="O325" s="8" t="s">
        <v>1147</v>
      </c>
      <c r="P325" s="8" t="s">
        <v>115</v>
      </c>
      <c r="Q325" s="8" t="s">
        <v>130</v>
      </c>
      <c r="R325" s="8" t="s">
        <v>219</v>
      </c>
      <c r="S325" s="8" t="s">
        <v>117</v>
      </c>
      <c r="T325" s="8" t="s">
        <v>1100</v>
      </c>
      <c r="U325" s="14">
        <v>45782</v>
      </c>
      <c r="V325" s="20">
        <v>45780</v>
      </c>
      <c r="X325" s="8" t="str">
        <f t="shared" si="104"/>
        <v>SANJEEV KUMAR/FSD/Exceedance/B737/25-05/01</v>
      </c>
      <c r="Y325" s="13" t="s">
        <v>1145</v>
      </c>
      <c r="Z325" s="14">
        <v>45780</v>
      </c>
    </row>
    <row r="326" spans="1:26" ht="15" customHeight="1" x14ac:dyDescent="0.2">
      <c r="A326" s="8">
        <v>328</v>
      </c>
      <c r="B326" s="8" t="s">
        <v>125</v>
      </c>
      <c r="C326" s="14">
        <v>45778</v>
      </c>
      <c r="D326" s="8" t="s">
        <v>54</v>
      </c>
      <c r="E326" s="8" t="s">
        <v>162</v>
      </c>
      <c r="F326" s="8" t="s">
        <v>1142</v>
      </c>
      <c r="G326" s="13" t="s">
        <v>46</v>
      </c>
      <c r="H326" s="13" t="s">
        <v>343</v>
      </c>
      <c r="I326" s="8" t="s">
        <v>89</v>
      </c>
      <c r="J326" s="8" t="s">
        <v>530</v>
      </c>
      <c r="K326" s="8" t="s">
        <v>1144</v>
      </c>
      <c r="L326" s="4" t="s">
        <v>42</v>
      </c>
      <c r="O326" s="8" t="s">
        <v>125</v>
      </c>
      <c r="P326" s="8" t="s">
        <v>123</v>
      </c>
      <c r="Q326" s="8" t="s">
        <v>125</v>
      </c>
      <c r="R326" s="8" t="s">
        <v>126</v>
      </c>
      <c r="S326" s="8" t="s">
        <v>125</v>
      </c>
      <c r="T326" s="8" t="s">
        <v>128</v>
      </c>
      <c r="U326" s="14">
        <v>45781</v>
      </c>
      <c r="V326" s="8" t="s">
        <v>125</v>
      </c>
      <c r="X326" s="8" t="s">
        <v>127</v>
      </c>
      <c r="Y326" s="26" t="s">
        <v>1146</v>
      </c>
      <c r="Z326" s="14">
        <v>45780</v>
      </c>
    </row>
    <row r="327" spans="1:26" s="49" customFormat="1" ht="15" customHeight="1" x14ac:dyDescent="0.2">
      <c r="A327" s="49">
        <v>329</v>
      </c>
      <c r="B327" s="49" t="s">
        <v>125</v>
      </c>
      <c r="C327" s="50">
        <v>45779</v>
      </c>
      <c r="D327" s="49" t="s">
        <v>412</v>
      </c>
      <c r="E327" s="49" t="s">
        <v>1148</v>
      </c>
      <c r="F327" s="49" t="s">
        <v>1149</v>
      </c>
      <c r="G327" s="49" t="s">
        <v>1150</v>
      </c>
      <c r="H327" s="49" t="s">
        <v>926</v>
      </c>
      <c r="I327" s="49" t="s">
        <v>1151</v>
      </c>
      <c r="J327" s="49">
        <v>1000</v>
      </c>
      <c r="K327" s="49">
        <v>986</v>
      </c>
      <c r="L327" s="51" t="s">
        <v>26</v>
      </c>
      <c r="O327" s="49" t="s">
        <v>1154</v>
      </c>
      <c r="P327" s="49" t="s">
        <v>431</v>
      </c>
      <c r="Q327" s="49" t="s">
        <v>431</v>
      </c>
      <c r="R327" s="49" t="s">
        <v>431</v>
      </c>
      <c r="S327" s="49" t="s">
        <v>431</v>
      </c>
      <c r="T327" s="49" t="s">
        <v>431</v>
      </c>
      <c r="U327" s="52"/>
      <c r="V327" s="50">
        <v>45781</v>
      </c>
      <c r="X327" s="49" t="str">
        <f t="shared" si="104"/>
        <v>JAMSHEED MOHAMMED IBRAHIM SYED/FSD/Exceedance/B737/25-05/02- D</v>
      </c>
      <c r="Y327" s="53" t="s">
        <v>1152</v>
      </c>
      <c r="Z327" s="50">
        <v>45781</v>
      </c>
    </row>
    <row r="328" spans="1:26" ht="15" customHeight="1" x14ac:dyDescent="0.2">
      <c r="A328" s="8">
        <v>330</v>
      </c>
      <c r="B328" s="8">
        <v>8402</v>
      </c>
      <c r="C328" s="14">
        <v>45781</v>
      </c>
      <c r="D328" s="8" t="s">
        <v>144</v>
      </c>
      <c r="E328" s="8" t="s">
        <v>1155</v>
      </c>
      <c r="F328" s="8" t="s">
        <v>1156</v>
      </c>
      <c r="G328" s="8" t="s">
        <v>215</v>
      </c>
      <c r="H328" s="8" t="s">
        <v>896</v>
      </c>
      <c r="I328" s="8" t="s">
        <v>996</v>
      </c>
      <c r="K328" s="8">
        <v>6</v>
      </c>
      <c r="L328" s="4" t="s">
        <v>404</v>
      </c>
      <c r="O328" s="21" t="s">
        <v>1153</v>
      </c>
      <c r="P328" s="8" t="s">
        <v>203</v>
      </c>
      <c r="Q328" s="8" t="s">
        <v>126</v>
      </c>
      <c r="R328" s="8" t="s">
        <v>1262</v>
      </c>
      <c r="S328" s="8" t="s">
        <v>117</v>
      </c>
      <c r="T328" s="8" t="s">
        <v>1100</v>
      </c>
      <c r="U328" s="20">
        <v>45797</v>
      </c>
      <c r="V328" s="14">
        <v>45781</v>
      </c>
      <c r="X328" s="8" t="str">
        <f t="shared" si="104"/>
        <v>JATIN CHANDRAKANT MER/FSD/Exceedance/B737/25-05/03</v>
      </c>
      <c r="Y328" s="13" t="s">
        <v>1157</v>
      </c>
      <c r="Z328" s="14">
        <v>45782</v>
      </c>
    </row>
    <row r="329" spans="1:26" ht="15" customHeight="1" x14ac:dyDescent="0.2">
      <c r="A329" s="8">
        <v>331</v>
      </c>
      <c r="B329" s="8" t="s">
        <v>125</v>
      </c>
      <c r="C329" s="20">
        <v>45780</v>
      </c>
      <c r="D329" s="8" t="s">
        <v>168</v>
      </c>
      <c r="E329" s="8" t="s">
        <v>310</v>
      </c>
      <c r="F329" s="8" t="s">
        <v>311</v>
      </c>
      <c r="G329" s="8" t="s">
        <v>703</v>
      </c>
      <c r="H329" s="8" t="s">
        <v>665</v>
      </c>
      <c r="I329" s="8" t="s">
        <v>136</v>
      </c>
      <c r="J329" s="8" t="s">
        <v>382</v>
      </c>
      <c r="K329" s="8" t="s">
        <v>893</v>
      </c>
      <c r="L329" s="8" t="s">
        <v>42</v>
      </c>
      <c r="O329" s="8" t="s">
        <v>125</v>
      </c>
      <c r="P329" s="8" t="s">
        <v>123</v>
      </c>
      <c r="Q329" s="8" t="s">
        <v>125</v>
      </c>
      <c r="R329" s="8" t="s">
        <v>126</v>
      </c>
      <c r="S329" s="8" t="s">
        <v>125</v>
      </c>
      <c r="T329" s="8" t="s">
        <v>128</v>
      </c>
      <c r="U329" s="14">
        <v>45782</v>
      </c>
      <c r="V329" s="20"/>
      <c r="X329" s="8" t="s">
        <v>127</v>
      </c>
      <c r="Y329" s="13" t="s">
        <v>1161</v>
      </c>
      <c r="Z329" s="14">
        <v>45782</v>
      </c>
    </row>
    <row r="330" spans="1:26" ht="15" customHeight="1" x14ac:dyDescent="0.2">
      <c r="A330" s="8">
        <v>332</v>
      </c>
      <c r="B330" s="8" t="s">
        <v>125</v>
      </c>
      <c r="C330" s="20">
        <v>45781</v>
      </c>
      <c r="D330" s="8" t="s">
        <v>48</v>
      </c>
      <c r="E330" s="8" t="s">
        <v>1033</v>
      </c>
      <c r="F330" s="8" t="s">
        <v>373</v>
      </c>
      <c r="G330" s="8" t="s">
        <v>1083</v>
      </c>
      <c r="H330" s="8" t="s">
        <v>167</v>
      </c>
      <c r="I330" s="8" t="s">
        <v>57</v>
      </c>
      <c r="J330" s="8">
        <v>30</v>
      </c>
      <c r="K330" s="8">
        <v>32.299999999999997</v>
      </c>
      <c r="L330" s="8" t="s">
        <v>271</v>
      </c>
      <c r="O330" s="8" t="s">
        <v>125</v>
      </c>
      <c r="P330" s="8" t="s">
        <v>123</v>
      </c>
      <c r="Q330" s="8" t="s">
        <v>125</v>
      </c>
      <c r="R330" s="8" t="s">
        <v>126</v>
      </c>
      <c r="S330" s="8" t="s">
        <v>125</v>
      </c>
      <c r="T330" s="8" t="s">
        <v>128</v>
      </c>
      <c r="U330" s="14">
        <v>45782</v>
      </c>
      <c r="X330" s="8" t="s">
        <v>127</v>
      </c>
      <c r="Y330" s="13" t="s">
        <v>1162</v>
      </c>
      <c r="Z330" s="14">
        <v>45782</v>
      </c>
    </row>
    <row r="331" spans="1:26" ht="15" customHeight="1" x14ac:dyDescent="0.2">
      <c r="A331" s="8">
        <v>333</v>
      </c>
      <c r="B331" s="8" t="s">
        <v>125</v>
      </c>
      <c r="C331" s="20">
        <v>45780</v>
      </c>
      <c r="D331" s="8" t="s">
        <v>249</v>
      </c>
      <c r="E331" s="8" t="s">
        <v>1159</v>
      </c>
      <c r="F331" s="8" t="s">
        <v>1160</v>
      </c>
      <c r="G331" s="8" t="s">
        <v>342</v>
      </c>
      <c r="H331" s="8" t="s">
        <v>389</v>
      </c>
      <c r="I331" s="8" t="s">
        <v>57</v>
      </c>
      <c r="J331" s="8">
        <v>30</v>
      </c>
      <c r="K331" s="8">
        <v>31.1</v>
      </c>
      <c r="L331" s="8" t="s">
        <v>271</v>
      </c>
      <c r="O331" s="8" t="s">
        <v>125</v>
      </c>
      <c r="P331" s="8" t="s">
        <v>123</v>
      </c>
      <c r="Q331" s="8" t="s">
        <v>125</v>
      </c>
      <c r="R331" s="8" t="s">
        <v>126</v>
      </c>
      <c r="S331" s="8" t="s">
        <v>125</v>
      </c>
      <c r="T331" s="8" t="s">
        <v>128</v>
      </c>
      <c r="U331" s="14">
        <v>45782</v>
      </c>
      <c r="X331" s="8" t="s">
        <v>127</v>
      </c>
      <c r="Y331" s="13" t="s">
        <v>1163</v>
      </c>
      <c r="Z331" s="14">
        <v>45782</v>
      </c>
    </row>
    <row r="332" spans="1:26" ht="15" customHeight="1" x14ac:dyDescent="0.2">
      <c r="A332" s="8">
        <v>334</v>
      </c>
      <c r="B332" s="8" t="s">
        <v>125</v>
      </c>
      <c r="C332" s="20">
        <v>45780</v>
      </c>
      <c r="D332" s="8" t="s">
        <v>48</v>
      </c>
      <c r="E332" s="8" t="s">
        <v>94</v>
      </c>
      <c r="F332" s="8" t="s">
        <v>95</v>
      </c>
      <c r="G332" s="8" t="s">
        <v>1158</v>
      </c>
      <c r="H332" s="8" t="s">
        <v>876</v>
      </c>
      <c r="I332" s="8" t="s">
        <v>57</v>
      </c>
      <c r="J332" s="8">
        <v>30</v>
      </c>
      <c r="K332" s="8">
        <v>31.3</v>
      </c>
      <c r="L332" s="8" t="s">
        <v>271</v>
      </c>
      <c r="O332" s="8" t="s">
        <v>125</v>
      </c>
      <c r="P332" s="8" t="s">
        <v>123</v>
      </c>
      <c r="Q332" s="8" t="s">
        <v>125</v>
      </c>
      <c r="R332" s="8" t="s">
        <v>126</v>
      </c>
      <c r="S332" s="8" t="s">
        <v>125</v>
      </c>
      <c r="T332" s="8" t="s">
        <v>128</v>
      </c>
      <c r="U332" s="14">
        <v>45782</v>
      </c>
      <c r="X332" s="8" t="s">
        <v>127</v>
      </c>
      <c r="Y332" s="13" t="s">
        <v>1164</v>
      </c>
      <c r="Z332" s="14">
        <v>45782</v>
      </c>
    </row>
    <row r="333" spans="1:26" ht="15" customHeight="1" x14ac:dyDescent="0.2">
      <c r="A333" s="8">
        <v>335</v>
      </c>
      <c r="B333" s="8">
        <v>8420</v>
      </c>
      <c r="C333" s="12">
        <v>45783</v>
      </c>
      <c r="D333" s="28" t="s">
        <v>256</v>
      </c>
      <c r="E333" s="13" t="s">
        <v>1165</v>
      </c>
      <c r="F333" s="8" t="s">
        <v>1166</v>
      </c>
      <c r="G333" s="13" t="s">
        <v>593</v>
      </c>
      <c r="H333" s="13" t="s">
        <v>445</v>
      </c>
      <c r="I333" s="13" t="s">
        <v>466</v>
      </c>
      <c r="J333" s="13" t="s">
        <v>69</v>
      </c>
      <c r="K333" s="13" t="s">
        <v>1167</v>
      </c>
      <c r="L333" s="13" t="s">
        <v>42</v>
      </c>
      <c r="O333" s="21" t="s">
        <v>1168</v>
      </c>
      <c r="P333" s="8" t="s">
        <v>115</v>
      </c>
      <c r="Q333" s="8" t="s">
        <v>130</v>
      </c>
      <c r="R333" s="8" t="s">
        <v>1262</v>
      </c>
      <c r="S333" s="8" t="s">
        <v>117</v>
      </c>
      <c r="T333" s="8" t="s">
        <v>1100</v>
      </c>
      <c r="U333" s="20">
        <v>45797</v>
      </c>
      <c r="V333" s="14">
        <v>45784</v>
      </c>
      <c r="X333" s="8" t="str">
        <f t="shared" ref="X333" si="105">G333&amp;AB$1&amp;O333</f>
        <v>CHARAN SINGH CHOUDHARY/FSD/Exceedance/B737/25-05/04</v>
      </c>
      <c r="Y333" s="13" t="s">
        <v>1169</v>
      </c>
      <c r="Z333" s="14">
        <v>45784</v>
      </c>
    </row>
    <row r="334" spans="1:26" ht="15" customHeight="1" x14ac:dyDescent="0.2">
      <c r="A334" s="8">
        <v>336</v>
      </c>
      <c r="B334" s="8" t="s">
        <v>125</v>
      </c>
      <c r="C334" s="15">
        <v>45782</v>
      </c>
      <c r="D334" s="13" t="s">
        <v>66</v>
      </c>
      <c r="E334" s="13" t="s">
        <v>617</v>
      </c>
      <c r="F334" s="8" t="s">
        <v>1050</v>
      </c>
      <c r="G334" s="13" t="s">
        <v>713</v>
      </c>
      <c r="H334" s="13" t="s">
        <v>574</v>
      </c>
      <c r="I334" s="13" t="s">
        <v>57</v>
      </c>
      <c r="J334" s="13">
        <v>30</v>
      </c>
      <c r="K334" s="13">
        <v>31.1</v>
      </c>
      <c r="L334" s="13" t="s">
        <v>271</v>
      </c>
      <c r="O334" s="8" t="s">
        <v>125</v>
      </c>
      <c r="P334" s="8" t="s">
        <v>123</v>
      </c>
      <c r="Q334" s="8" t="s">
        <v>125</v>
      </c>
      <c r="R334" s="8" t="s">
        <v>126</v>
      </c>
      <c r="S334" s="8" t="s">
        <v>125</v>
      </c>
      <c r="T334" s="8" t="s">
        <v>128</v>
      </c>
      <c r="U334" s="14">
        <v>45785</v>
      </c>
      <c r="V334" s="8" t="s">
        <v>125</v>
      </c>
      <c r="X334" s="8" t="s">
        <v>127</v>
      </c>
      <c r="Y334" s="13" t="s">
        <v>1170</v>
      </c>
      <c r="Z334" s="14">
        <v>45784</v>
      </c>
    </row>
    <row r="335" spans="1:26" ht="15" customHeight="1" x14ac:dyDescent="0.2">
      <c r="A335" s="8">
        <v>337</v>
      </c>
      <c r="B335" s="8" t="s">
        <v>125</v>
      </c>
      <c r="C335" s="20">
        <v>45784</v>
      </c>
      <c r="D335" s="8" t="s">
        <v>139</v>
      </c>
      <c r="E335" s="8" t="s">
        <v>162</v>
      </c>
      <c r="F335" s="8" t="s">
        <v>1142</v>
      </c>
      <c r="G335" s="8" t="s">
        <v>785</v>
      </c>
      <c r="H335" s="8" t="s">
        <v>33</v>
      </c>
      <c r="I335" s="8" t="s">
        <v>57</v>
      </c>
      <c r="J335" s="8">
        <v>30</v>
      </c>
      <c r="K335" s="8">
        <v>33.200000000000003</v>
      </c>
      <c r="L335" s="8" t="s">
        <v>271</v>
      </c>
      <c r="O335" s="8" t="s">
        <v>125</v>
      </c>
      <c r="P335" s="8" t="s">
        <v>123</v>
      </c>
      <c r="Q335" s="8" t="s">
        <v>125</v>
      </c>
      <c r="R335" s="8" t="s">
        <v>126</v>
      </c>
      <c r="S335" s="8" t="s">
        <v>125</v>
      </c>
      <c r="T335" s="8" t="s">
        <v>128</v>
      </c>
      <c r="U335" s="14">
        <v>45786</v>
      </c>
      <c r="V335" s="8" t="s">
        <v>125</v>
      </c>
      <c r="X335" s="8" t="s">
        <v>127</v>
      </c>
      <c r="Y335" s="13" t="s">
        <v>1172</v>
      </c>
      <c r="Z335" s="14">
        <v>45785</v>
      </c>
    </row>
    <row r="336" spans="1:26" ht="15" customHeight="1" x14ac:dyDescent="0.2">
      <c r="A336" s="8">
        <v>338</v>
      </c>
      <c r="B336" s="8" t="s">
        <v>125</v>
      </c>
      <c r="C336" s="20">
        <v>45784</v>
      </c>
      <c r="D336" s="13" t="s">
        <v>144</v>
      </c>
      <c r="E336" s="13" t="s">
        <v>321</v>
      </c>
      <c r="F336" s="13" t="s">
        <v>635</v>
      </c>
      <c r="G336" s="13" t="s">
        <v>833</v>
      </c>
      <c r="H336" s="13" t="s">
        <v>1171</v>
      </c>
      <c r="I336" s="8" t="s">
        <v>313</v>
      </c>
      <c r="J336" s="13"/>
      <c r="K336" s="8">
        <v>60</v>
      </c>
      <c r="L336" s="8" t="s">
        <v>26</v>
      </c>
      <c r="O336" s="8" t="s">
        <v>125</v>
      </c>
      <c r="P336" s="8" t="s">
        <v>123</v>
      </c>
      <c r="Q336" s="8" t="s">
        <v>125</v>
      </c>
      <c r="R336" s="8" t="s">
        <v>126</v>
      </c>
      <c r="S336" s="8" t="s">
        <v>125</v>
      </c>
      <c r="T336" s="8" t="s">
        <v>128</v>
      </c>
      <c r="U336" s="14">
        <v>45786</v>
      </c>
      <c r="V336" s="8" t="s">
        <v>125</v>
      </c>
      <c r="X336" s="8" t="s">
        <v>127</v>
      </c>
      <c r="Y336" s="13" t="s">
        <v>1173</v>
      </c>
      <c r="Z336" s="14">
        <v>45785</v>
      </c>
    </row>
    <row r="337" spans="1:26" ht="15" customHeight="1" x14ac:dyDescent="0.2">
      <c r="A337" s="8">
        <v>339</v>
      </c>
      <c r="B337" s="8">
        <v>8424</v>
      </c>
      <c r="C337" s="15">
        <v>45784</v>
      </c>
      <c r="D337" s="13" t="s">
        <v>256</v>
      </c>
      <c r="E337" s="13" t="s">
        <v>1165</v>
      </c>
      <c r="F337" s="13" t="s">
        <v>1166</v>
      </c>
      <c r="G337" s="13" t="s">
        <v>194</v>
      </c>
      <c r="H337" s="13" t="s">
        <v>1174</v>
      </c>
      <c r="I337" s="13" t="s">
        <v>196</v>
      </c>
      <c r="J337" s="13">
        <v>4.5</v>
      </c>
      <c r="K337" s="13">
        <v>6.85</v>
      </c>
      <c r="L337" s="13" t="s">
        <v>441</v>
      </c>
      <c r="O337" s="21" t="s">
        <v>1175</v>
      </c>
      <c r="P337" s="13" t="s">
        <v>115</v>
      </c>
      <c r="Q337" s="8" t="s">
        <v>130</v>
      </c>
      <c r="R337" s="8" t="s">
        <v>1262</v>
      </c>
      <c r="S337" s="8" t="s">
        <v>117</v>
      </c>
      <c r="T337" s="8" t="s">
        <v>1100</v>
      </c>
      <c r="U337" s="14">
        <v>45797</v>
      </c>
      <c r="V337" s="14">
        <v>45786</v>
      </c>
      <c r="X337" s="8" t="str">
        <f t="shared" ref="X337:X339" si="106">G337&amp;AB$1&amp;O337</f>
        <v>MAHENDRA KUVARJI CHHEDA/FSD/Exceedance/B737/25-05/05</v>
      </c>
      <c r="Y337" s="13" t="s">
        <v>1176</v>
      </c>
      <c r="Z337" s="14">
        <v>45786</v>
      </c>
    </row>
    <row r="338" spans="1:26" ht="15" customHeight="1" x14ac:dyDescent="0.2">
      <c r="A338" s="8">
        <v>340</v>
      </c>
      <c r="B338" s="8" t="s">
        <v>125</v>
      </c>
      <c r="C338" s="20">
        <v>45786</v>
      </c>
      <c r="D338" s="8" t="s">
        <v>54</v>
      </c>
      <c r="E338" s="8" t="s">
        <v>1177</v>
      </c>
      <c r="F338" s="8" t="s">
        <v>268</v>
      </c>
      <c r="G338" s="8" t="s">
        <v>46</v>
      </c>
      <c r="H338" s="8" t="s">
        <v>786</v>
      </c>
      <c r="I338" s="8" t="s">
        <v>313</v>
      </c>
      <c r="K338" s="8">
        <v>16</v>
      </c>
      <c r="L338" s="8" t="s">
        <v>26</v>
      </c>
      <c r="O338" s="8" t="s">
        <v>125</v>
      </c>
      <c r="P338" s="8" t="s">
        <v>123</v>
      </c>
      <c r="Q338" s="8" t="s">
        <v>125</v>
      </c>
      <c r="R338" s="8" t="s">
        <v>126</v>
      </c>
      <c r="S338" s="8" t="s">
        <v>125</v>
      </c>
      <c r="T338" s="8" t="s">
        <v>128</v>
      </c>
      <c r="U338" s="14"/>
      <c r="X338" s="8" t="s">
        <v>127</v>
      </c>
      <c r="Y338" s="13" t="s">
        <v>1179</v>
      </c>
      <c r="Z338" s="14">
        <v>45787</v>
      </c>
    </row>
    <row r="339" spans="1:26" ht="15" customHeight="1" x14ac:dyDescent="0.2">
      <c r="A339" s="8">
        <v>341</v>
      </c>
      <c r="B339" s="8">
        <v>8423</v>
      </c>
      <c r="C339" s="20">
        <v>45785</v>
      </c>
      <c r="D339" s="8" t="s">
        <v>144</v>
      </c>
      <c r="E339" s="8" t="s">
        <v>943</v>
      </c>
      <c r="F339" s="8" t="s">
        <v>146</v>
      </c>
      <c r="G339" s="8" t="s">
        <v>674</v>
      </c>
      <c r="H339" s="8" t="s">
        <v>948</v>
      </c>
      <c r="I339" s="8" t="s">
        <v>1178</v>
      </c>
      <c r="J339" s="8">
        <v>950</v>
      </c>
      <c r="K339" s="8">
        <v>952</v>
      </c>
      <c r="L339" s="8" t="s">
        <v>716</v>
      </c>
      <c r="O339" s="21" t="s">
        <v>1182</v>
      </c>
      <c r="P339" s="8" t="s">
        <v>115</v>
      </c>
      <c r="Q339" s="8" t="s">
        <v>130</v>
      </c>
      <c r="R339" s="8" t="s">
        <v>219</v>
      </c>
      <c r="S339" s="8" t="s">
        <v>117</v>
      </c>
      <c r="T339" s="8" t="s">
        <v>1100</v>
      </c>
      <c r="U339" s="14">
        <v>45797</v>
      </c>
      <c r="V339" s="14">
        <v>45787</v>
      </c>
      <c r="X339" s="8" t="str">
        <f t="shared" si="106"/>
        <v>ARIHANT JAIN/FSD/Exceedance/B737/25-05/06</v>
      </c>
      <c r="Y339" s="13" t="s">
        <v>1180</v>
      </c>
      <c r="Z339" s="14">
        <v>45787</v>
      </c>
    </row>
    <row r="340" spans="1:26" ht="15" customHeight="1" x14ac:dyDescent="0.2">
      <c r="A340" s="8">
        <v>342</v>
      </c>
      <c r="B340" s="8" t="s">
        <v>125</v>
      </c>
      <c r="C340" s="20">
        <v>45786</v>
      </c>
      <c r="D340" s="8" t="s">
        <v>168</v>
      </c>
      <c r="E340" s="8" t="s">
        <v>965</v>
      </c>
      <c r="F340" s="8" t="s">
        <v>315</v>
      </c>
      <c r="G340" s="8" t="s">
        <v>448</v>
      </c>
      <c r="H340" s="8" t="s">
        <v>667</v>
      </c>
      <c r="I340" s="8" t="s">
        <v>27</v>
      </c>
      <c r="J340" s="8" t="s">
        <v>294</v>
      </c>
      <c r="K340" s="8">
        <v>1275</v>
      </c>
      <c r="L340" s="8" t="s">
        <v>26</v>
      </c>
      <c r="O340" s="21" t="s">
        <v>1183</v>
      </c>
      <c r="P340" s="13" t="s">
        <v>157</v>
      </c>
      <c r="Q340" s="8" t="s">
        <v>125</v>
      </c>
      <c r="R340" s="8" t="s">
        <v>126</v>
      </c>
      <c r="S340" s="8" t="s">
        <v>125</v>
      </c>
      <c r="T340" s="8" t="s">
        <v>128</v>
      </c>
      <c r="U340" s="20"/>
      <c r="V340" s="20"/>
      <c r="X340" s="8" t="s">
        <v>127</v>
      </c>
      <c r="Y340" s="8" t="s">
        <v>1181</v>
      </c>
      <c r="Z340" s="14">
        <v>45787</v>
      </c>
    </row>
    <row r="341" spans="1:26" ht="15" customHeight="1" x14ac:dyDescent="0.2">
      <c r="A341" s="8">
        <v>343</v>
      </c>
      <c r="B341" s="8" t="s">
        <v>125</v>
      </c>
      <c r="C341" s="14">
        <v>45787</v>
      </c>
      <c r="D341" s="8" t="s">
        <v>144</v>
      </c>
      <c r="E341" s="8" t="s">
        <v>110</v>
      </c>
      <c r="F341" s="8" t="s">
        <v>857</v>
      </c>
      <c r="G341" s="8" t="s">
        <v>767</v>
      </c>
      <c r="H341" s="8" t="s">
        <v>148</v>
      </c>
      <c r="I341" s="8" t="s">
        <v>27</v>
      </c>
      <c r="J341" s="8" t="s">
        <v>28</v>
      </c>
      <c r="K341" s="8" t="s">
        <v>1184</v>
      </c>
      <c r="L341" s="8" t="s">
        <v>26</v>
      </c>
      <c r="O341" s="21" t="s">
        <v>1190</v>
      </c>
      <c r="P341" s="8" t="s">
        <v>123</v>
      </c>
      <c r="Q341" s="8" t="s">
        <v>125</v>
      </c>
      <c r="R341" s="8" t="s">
        <v>126</v>
      </c>
      <c r="S341" s="8" t="s">
        <v>125</v>
      </c>
      <c r="T341" s="8" t="s">
        <v>128</v>
      </c>
      <c r="U341" s="14">
        <v>45789</v>
      </c>
      <c r="X341" s="8" t="s">
        <v>127</v>
      </c>
      <c r="Y341" s="13" t="s">
        <v>1187</v>
      </c>
      <c r="Z341" s="14">
        <v>45788</v>
      </c>
    </row>
    <row r="342" spans="1:26" ht="15" customHeight="1" x14ac:dyDescent="0.2">
      <c r="A342" s="8">
        <v>344</v>
      </c>
      <c r="B342" s="8">
        <v>8425</v>
      </c>
      <c r="C342" s="14">
        <v>45787</v>
      </c>
      <c r="D342" s="8" t="s">
        <v>144</v>
      </c>
      <c r="E342" s="8" t="s">
        <v>110</v>
      </c>
      <c r="F342" s="8" t="s">
        <v>857</v>
      </c>
      <c r="G342" s="8" t="s">
        <v>767</v>
      </c>
      <c r="H342" s="8" t="s">
        <v>148</v>
      </c>
      <c r="I342" s="8" t="s">
        <v>447</v>
      </c>
      <c r="J342" s="8">
        <v>162</v>
      </c>
      <c r="K342" s="8">
        <v>164</v>
      </c>
      <c r="L342" s="8" t="s">
        <v>42</v>
      </c>
      <c r="O342" s="21" t="s">
        <v>1190</v>
      </c>
      <c r="P342" s="8" t="s">
        <v>115</v>
      </c>
      <c r="Q342" s="8" t="s">
        <v>130</v>
      </c>
      <c r="R342" s="8" t="s">
        <v>219</v>
      </c>
      <c r="S342" s="8" t="s">
        <v>117</v>
      </c>
      <c r="T342" s="8" t="s">
        <v>1199</v>
      </c>
      <c r="U342" s="14">
        <v>45796</v>
      </c>
      <c r="V342" s="14">
        <v>45788</v>
      </c>
      <c r="X342" s="8" t="str">
        <f t="shared" ref="X342:X343" si="107">G342&amp;AB$1&amp;O342</f>
        <v>ASHOKKUMAR GYANCHAND TALREJA/FSD/Exceedance/B737/25-05/08</v>
      </c>
      <c r="Y342" s="13" t="s">
        <v>1188</v>
      </c>
      <c r="Z342" s="14">
        <v>45788</v>
      </c>
    </row>
    <row r="343" spans="1:26" ht="15" customHeight="1" x14ac:dyDescent="0.2">
      <c r="A343" s="8">
        <v>345</v>
      </c>
      <c r="B343" s="8">
        <v>8426</v>
      </c>
      <c r="C343" s="14">
        <v>45787</v>
      </c>
      <c r="D343" s="8" t="s">
        <v>66</v>
      </c>
      <c r="E343" s="8" t="s">
        <v>1185</v>
      </c>
      <c r="F343" s="8" t="s">
        <v>1186</v>
      </c>
      <c r="G343" s="8" t="s">
        <v>619</v>
      </c>
      <c r="H343" s="8" t="s">
        <v>665</v>
      </c>
      <c r="I343" s="8" t="s">
        <v>778</v>
      </c>
      <c r="J343" s="8">
        <v>950</v>
      </c>
      <c r="K343" s="8">
        <v>955</v>
      </c>
      <c r="L343" s="8" t="s">
        <v>716</v>
      </c>
      <c r="O343" s="21" t="s">
        <v>1191</v>
      </c>
      <c r="P343" s="8" t="s">
        <v>115</v>
      </c>
      <c r="Q343" s="8" t="s">
        <v>130</v>
      </c>
      <c r="R343" s="8" t="s">
        <v>219</v>
      </c>
      <c r="S343" s="8" t="s">
        <v>117</v>
      </c>
      <c r="T343" s="8" t="s">
        <v>1100</v>
      </c>
      <c r="U343" s="14">
        <v>45797</v>
      </c>
      <c r="V343" s="14">
        <v>45788</v>
      </c>
      <c r="X343" s="8" t="str">
        <f t="shared" si="107"/>
        <v>MANAS CHATTERJEE/FSD/Exceedance/B737/25-05/09</v>
      </c>
      <c r="Y343" s="13" t="s">
        <v>1189</v>
      </c>
      <c r="Z343" s="14">
        <v>45788</v>
      </c>
    </row>
    <row r="344" spans="1:26" ht="15" customHeight="1" x14ac:dyDescent="0.2">
      <c r="A344" s="8">
        <v>346</v>
      </c>
      <c r="B344" s="8" t="s">
        <v>125</v>
      </c>
      <c r="C344" s="15">
        <v>45787</v>
      </c>
      <c r="D344" s="13" t="s">
        <v>139</v>
      </c>
      <c r="E344" s="13" t="s">
        <v>1192</v>
      </c>
      <c r="F344" s="13" t="s">
        <v>1193</v>
      </c>
      <c r="G344" s="13" t="s">
        <v>52</v>
      </c>
      <c r="H344" s="13" t="s">
        <v>804</v>
      </c>
      <c r="I344" s="13" t="s">
        <v>57</v>
      </c>
      <c r="J344" s="13">
        <v>30</v>
      </c>
      <c r="K344" s="13">
        <v>31.3</v>
      </c>
      <c r="L344" s="13" t="s">
        <v>271</v>
      </c>
      <c r="O344" s="8" t="s">
        <v>125</v>
      </c>
      <c r="P344" s="8" t="s">
        <v>123</v>
      </c>
      <c r="Q344" s="8" t="s">
        <v>125</v>
      </c>
      <c r="R344" s="8" t="s">
        <v>126</v>
      </c>
      <c r="S344" s="8" t="s">
        <v>125</v>
      </c>
      <c r="T344" s="8" t="s">
        <v>128</v>
      </c>
      <c r="U344" s="14">
        <v>45790</v>
      </c>
      <c r="V344" s="20"/>
      <c r="X344" s="8" t="s">
        <v>127</v>
      </c>
      <c r="Y344" s="8" t="s">
        <v>1197</v>
      </c>
      <c r="Z344" s="14">
        <v>45789</v>
      </c>
    </row>
    <row r="345" spans="1:26" ht="15" customHeight="1" x14ac:dyDescent="0.2">
      <c r="A345" s="8">
        <v>347</v>
      </c>
      <c r="B345" s="8" t="s">
        <v>125</v>
      </c>
      <c r="C345" s="15">
        <v>45787</v>
      </c>
      <c r="D345" s="13" t="s">
        <v>1194</v>
      </c>
      <c r="E345" s="13" t="s">
        <v>1053</v>
      </c>
      <c r="F345" s="13" t="s">
        <v>133</v>
      </c>
      <c r="G345" s="13" t="s">
        <v>785</v>
      </c>
      <c r="H345" s="13" t="s">
        <v>1195</v>
      </c>
      <c r="I345" s="13" t="s">
        <v>391</v>
      </c>
      <c r="J345" s="13" t="s">
        <v>392</v>
      </c>
      <c r="K345" s="13" t="s">
        <v>1196</v>
      </c>
      <c r="L345" s="13" t="s">
        <v>42</v>
      </c>
      <c r="O345" s="8" t="s">
        <v>125</v>
      </c>
      <c r="P345" s="8" t="s">
        <v>123</v>
      </c>
      <c r="Q345" s="8" t="s">
        <v>125</v>
      </c>
      <c r="R345" s="8" t="s">
        <v>126</v>
      </c>
      <c r="S345" s="8" t="s">
        <v>125</v>
      </c>
      <c r="T345" s="8" t="s">
        <v>128</v>
      </c>
      <c r="U345" s="14">
        <v>45790</v>
      </c>
      <c r="V345" s="20"/>
      <c r="X345" s="8" t="s">
        <v>127</v>
      </c>
      <c r="Y345" s="8" t="s">
        <v>1198</v>
      </c>
      <c r="Z345" s="14">
        <v>45789</v>
      </c>
    </row>
    <row r="346" spans="1:26" ht="15" customHeight="1" x14ac:dyDescent="0.2">
      <c r="A346" s="8">
        <v>348</v>
      </c>
      <c r="B346" s="8" t="s">
        <v>125</v>
      </c>
      <c r="C346" s="20">
        <v>45790</v>
      </c>
      <c r="D346" s="8" t="s">
        <v>139</v>
      </c>
      <c r="E346" s="8" t="s">
        <v>1192</v>
      </c>
      <c r="F346" s="8" t="s">
        <v>1193</v>
      </c>
      <c r="G346" s="8" t="s">
        <v>178</v>
      </c>
      <c r="H346" s="8" t="s">
        <v>316</v>
      </c>
      <c r="I346" s="8" t="s">
        <v>620</v>
      </c>
      <c r="J346" s="8">
        <v>0.81499999999999995</v>
      </c>
      <c r="K346" s="8">
        <v>0.81599999999999995</v>
      </c>
      <c r="L346" s="8" t="s">
        <v>621</v>
      </c>
      <c r="O346" s="8" t="s">
        <v>125</v>
      </c>
      <c r="P346" s="8" t="s">
        <v>123</v>
      </c>
      <c r="Q346" s="8" t="s">
        <v>125</v>
      </c>
      <c r="R346" s="8" t="s">
        <v>126</v>
      </c>
      <c r="S346" s="8" t="s">
        <v>125</v>
      </c>
      <c r="T346" s="8" t="s">
        <v>128</v>
      </c>
      <c r="U346" s="14">
        <v>45792</v>
      </c>
      <c r="V346" s="20"/>
      <c r="X346" s="8" t="s">
        <v>127</v>
      </c>
      <c r="Y346" s="13" t="s">
        <v>1200</v>
      </c>
      <c r="Z346" s="14">
        <v>45791</v>
      </c>
    </row>
    <row r="347" spans="1:26" ht="15" customHeight="1" x14ac:dyDescent="0.2">
      <c r="A347" s="8">
        <v>349</v>
      </c>
      <c r="B347" s="8">
        <v>8446</v>
      </c>
      <c r="C347" s="15">
        <v>45791</v>
      </c>
      <c r="D347" s="13" t="s">
        <v>412</v>
      </c>
      <c r="E347" s="13" t="s">
        <v>1201</v>
      </c>
      <c r="F347" s="13" t="s">
        <v>111</v>
      </c>
      <c r="G347" s="13" t="s">
        <v>166</v>
      </c>
      <c r="H347" s="13" t="s">
        <v>375</v>
      </c>
      <c r="I347" s="13" t="s">
        <v>289</v>
      </c>
      <c r="J347" s="13">
        <v>0.3</v>
      </c>
      <c r="K347" s="13">
        <v>0</v>
      </c>
      <c r="L347" s="13" t="s">
        <v>36</v>
      </c>
      <c r="O347" s="21" t="s">
        <v>1202</v>
      </c>
      <c r="P347" s="8" t="s">
        <v>115</v>
      </c>
      <c r="Q347" s="8" t="s">
        <v>130</v>
      </c>
      <c r="R347" s="8" t="s">
        <v>219</v>
      </c>
      <c r="S347" s="8" t="s">
        <v>117</v>
      </c>
      <c r="T347" s="8" t="s">
        <v>1199</v>
      </c>
      <c r="U347" s="14">
        <v>45796</v>
      </c>
      <c r="V347" s="14">
        <v>45792</v>
      </c>
      <c r="X347" s="8" t="str">
        <f t="shared" ref="X347:X353" si="108">G347&amp;AB$1&amp;O347</f>
        <v>SUDHIR SHARMA/FSD/Exceedance/B737/25-05/10</v>
      </c>
      <c r="Y347" s="13" t="s">
        <v>1203</v>
      </c>
      <c r="Z347" s="14">
        <v>45792</v>
      </c>
    </row>
    <row r="348" spans="1:26" ht="15" customHeight="1" x14ac:dyDescent="0.2">
      <c r="A348" s="8">
        <v>350</v>
      </c>
      <c r="B348" s="8">
        <v>8447</v>
      </c>
      <c r="C348" s="15">
        <v>45791</v>
      </c>
      <c r="D348" s="13" t="s">
        <v>37</v>
      </c>
      <c r="E348" s="13" t="s">
        <v>1204</v>
      </c>
      <c r="F348" s="13" t="s">
        <v>35</v>
      </c>
      <c r="G348" s="13" t="s">
        <v>46</v>
      </c>
      <c r="H348" s="13" t="s">
        <v>900</v>
      </c>
      <c r="I348" s="13" t="s">
        <v>89</v>
      </c>
      <c r="J348" s="13" t="s">
        <v>889</v>
      </c>
      <c r="K348" s="13" t="s">
        <v>1205</v>
      </c>
      <c r="L348" s="13" t="s">
        <v>42</v>
      </c>
      <c r="O348" s="21" t="s">
        <v>1206</v>
      </c>
      <c r="P348" s="8" t="s">
        <v>203</v>
      </c>
      <c r="Q348" s="8" t="s">
        <v>126</v>
      </c>
      <c r="R348" s="8" t="s">
        <v>1262</v>
      </c>
      <c r="S348" s="8" t="s">
        <v>117</v>
      </c>
      <c r="T348" s="8" t="s">
        <v>1100</v>
      </c>
      <c r="U348" s="14">
        <v>45797</v>
      </c>
      <c r="V348" s="14">
        <v>45792</v>
      </c>
      <c r="X348" s="8" t="str">
        <f t="shared" si="108"/>
        <v>SANJEEV KUMAR/FSD/Exceedance/B737/25-05/11</v>
      </c>
      <c r="Y348" s="13" t="s">
        <v>1207</v>
      </c>
      <c r="Z348" s="14">
        <v>45792</v>
      </c>
    </row>
    <row r="349" spans="1:26" ht="15" customHeight="1" x14ac:dyDescent="0.2">
      <c r="A349" s="8">
        <v>351</v>
      </c>
      <c r="B349" s="8">
        <v>8447</v>
      </c>
      <c r="C349" s="15">
        <v>45791</v>
      </c>
      <c r="D349" s="13" t="s">
        <v>37</v>
      </c>
      <c r="E349" s="13" t="s">
        <v>1204</v>
      </c>
      <c r="F349" s="13" t="s">
        <v>35</v>
      </c>
      <c r="G349" s="13" t="s">
        <v>46</v>
      </c>
      <c r="H349" s="13" t="s">
        <v>900</v>
      </c>
      <c r="I349" s="13" t="s">
        <v>58</v>
      </c>
      <c r="J349" s="13">
        <v>1000</v>
      </c>
      <c r="K349" s="13">
        <v>989</v>
      </c>
      <c r="L349" s="13" t="s">
        <v>26</v>
      </c>
      <c r="O349" s="21" t="s">
        <v>1206</v>
      </c>
      <c r="P349" s="13" t="s">
        <v>203</v>
      </c>
      <c r="Q349" s="8" t="s">
        <v>126</v>
      </c>
      <c r="R349" s="8" t="s">
        <v>1262</v>
      </c>
      <c r="S349" s="8" t="s">
        <v>117</v>
      </c>
      <c r="T349" s="8" t="s">
        <v>1100</v>
      </c>
      <c r="U349" s="14">
        <v>45797</v>
      </c>
      <c r="V349" s="14">
        <v>45792</v>
      </c>
      <c r="X349" s="8" t="str">
        <f t="shared" si="108"/>
        <v>SANJEEV KUMAR/FSD/Exceedance/B737/25-05/11</v>
      </c>
      <c r="Y349" s="13" t="s">
        <v>1208</v>
      </c>
      <c r="Z349" s="14">
        <v>45792</v>
      </c>
    </row>
    <row r="350" spans="1:26" ht="15" customHeight="1" x14ac:dyDescent="0.2">
      <c r="A350" s="8">
        <v>352</v>
      </c>
      <c r="B350" s="8" t="s">
        <v>125</v>
      </c>
      <c r="C350" s="15">
        <v>45790</v>
      </c>
      <c r="D350" s="13" t="s">
        <v>66</v>
      </c>
      <c r="E350" s="13" t="s">
        <v>943</v>
      </c>
      <c r="F350" s="13" t="s">
        <v>146</v>
      </c>
      <c r="G350" s="13" t="s">
        <v>647</v>
      </c>
      <c r="H350" s="13" t="s">
        <v>70</v>
      </c>
      <c r="I350" s="13" t="s">
        <v>57</v>
      </c>
      <c r="J350" s="13">
        <v>30</v>
      </c>
      <c r="K350" s="13">
        <v>32.299999999999997</v>
      </c>
      <c r="L350" s="13" t="s">
        <v>271</v>
      </c>
      <c r="O350" s="8" t="s">
        <v>125</v>
      </c>
      <c r="P350" s="8" t="s">
        <v>123</v>
      </c>
      <c r="Q350" s="8" t="s">
        <v>125</v>
      </c>
      <c r="R350" s="8" t="s">
        <v>126</v>
      </c>
      <c r="S350" s="8" t="s">
        <v>125</v>
      </c>
      <c r="T350" s="8" t="s">
        <v>128</v>
      </c>
      <c r="U350" s="14">
        <v>45793</v>
      </c>
      <c r="V350" s="20"/>
      <c r="X350" s="8" t="s">
        <v>127</v>
      </c>
      <c r="Y350" s="13" t="s">
        <v>1209</v>
      </c>
      <c r="Z350" s="14">
        <v>45792</v>
      </c>
    </row>
    <row r="351" spans="1:26" ht="15" customHeight="1" x14ac:dyDescent="0.2">
      <c r="A351" s="8">
        <v>353</v>
      </c>
      <c r="B351" s="8">
        <v>8448</v>
      </c>
      <c r="C351" s="15">
        <v>45790</v>
      </c>
      <c r="D351" s="13" t="s">
        <v>66</v>
      </c>
      <c r="E351" s="13" t="s">
        <v>943</v>
      </c>
      <c r="F351" s="13" t="s">
        <v>146</v>
      </c>
      <c r="G351" s="13" t="s">
        <v>647</v>
      </c>
      <c r="H351" s="13" t="s">
        <v>70</v>
      </c>
      <c r="I351" s="26" t="s">
        <v>778</v>
      </c>
      <c r="J351" s="13">
        <v>950</v>
      </c>
      <c r="K351" s="13">
        <v>958</v>
      </c>
      <c r="L351" s="13" t="s">
        <v>1210</v>
      </c>
      <c r="O351" s="21" t="s">
        <v>1211</v>
      </c>
      <c r="P351" s="8" t="s">
        <v>115</v>
      </c>
      <c r="Q351" s="8" t="s">
        <v>130</v>
      </c>
      <c r="R351" s="8" t="s">
        <v>219</v>
      </c>
      <c r="S351" s="8" t="s">
        <v>117</v>
      </c>
      <c r="T351" s="8" t="s">
        <v>1100</v>
      </c>
      <c r="U351" s="14">
        <v>45797</v>
      </c>
      <c r="V351" s="14">
        <v>45792</v>
      </c>
      <c r="X351" s="8" t="str">
        <f t="shared" si="108"/>
        <v>VARUN GUPTA/FSD/Exceedance/B737/25-05/12</v>
      </c>
      <c r="Y351" s="26" t="s">
        <v>1212</v>
      </c>
      <c r="Z351" s="14">
        <v>45792</v>
      </c>
    </row>
    <row r="352" spans="1:26" ht="15" customHeight="1" x14ac:dyDescent="0.2">
      <c r="A352" s="8">
        <v>354</v>
      </c>
      <c r="B352" s="8">
        <v>8449</v>
      </c>
      <c r="C352" s="20">
        <v>45791</v>
      </c>
      <c r="D352" s="8" t="s">
        <v>412</v>
      </c>
      <c r="E352" s="8" t="s">
        <v>1213</v>
      </c>
      <c r="F352" s="8" t="s">
        <v>1214</v>
      </c>
      <c r="G352" s="8" t="s">
        <v>764</v>
      </c>
      <c r="H352" s="8" t="s">
        <v>1215</v>
      </c>
      <c r="I352" s="8" t="s">
        <v>1216</v>
      </c>
      <c r="J352" s="8">
        <v>1400</v>
      </c>
      <c r="K352" s="8">
        <v>1856</v>
      </c>
      <c r="L352" s="8" t="s">
        <v>25</v>
      </c>
      <c r="O352" s="21" t="s">
        <v>1217</v>
      </c>
      <c r="P352" s="8" t="s">
        <v>115</v>
      </c>
      <c r="Q352" s="8" t="s">
        <v>130</v>
      </c>
      <c r="R352" s="8" t="s">
        <v>219</v>
      </c>
      <c r="S352" s="8" t="s">
        <v>117</v>
      </c>
      <c r="T352" s="8" t="s">
        <v>1100</v>
      </c>
      <c r="U352" s="14">
        <v>45796</v>
      </c>
      <c r="V352" s="14">
        <v>45793</v>
      </c>
      <c r="X352" s="8" t="str">
        <f t="shared" si="108"/>
        <v>RAHUL SHARMA./FSD/Exceedance/B737/25-05/13</v>
      </c>
      <c r="Y352" s="54" t="s">
        <v>1218</v>
      </c>
      <c r="Z352" s="14">
        <v>45793</v>
      </c>
    </row>
    <row r="353" spans="1:28" ht="15" customHeight="1" x14ac:dyDescent="0.2">
      <c r="A353" s="8">
        <v>355</v>
      </c>
      <c r="B353" s="8">
        <v>8464</v>
      </c>
      <c r="C353" s="14">
        <v>45792</v>
      </c>
      <c r="D353" s="8" t="s">
        <v>256</v>
      </c>
      <c r="E353" s="8" t="s">
        <v>1219</v>
      </c>
      <c r="F353" s="8" t="s">
        <v>1220</v>
      </c>
      <c r="G353" s="8" t="s">
        <v>259</v>
      </c>
      <c r="H353" s="8" t="s">
        <v>497</v>
      </c>
      <c r="I353" s="8" t="s">
        <v>39</v>
      </c>
      <c r="J353" s="8">
        <v>1</v>
      </c>
      <c r="K353" s="8">
        <v>1.21</v>
      </c>
      <c r="L353" s="8" t="s">
        <v>34</v>
      </c>
      <c r="O353" s="21" t="s">
        <v>1224</v>
      </c>
      <c r="P353" s="13" t="s">
        <v>115</v>
      </c>
      <c r="Q353" s="8" t="s">
        <v>130</v>
      </c>
      <c r="R353" s="8" t="s">
        <v>1262</v>
      </c>
      <c r="S353" s="8" t="s">
        <v>117</v>
      </c>
      <c r="T353" s="8" t="s">
        <v>1100</v>
      </c>
      <c r="U353" s="14">
        <v>45797</v>
      </c>
      <c r="V353" s="14">
        <v>45795</v>
      </c>
      <c r="X353" s="8" t="str">
        <f t="shared" si="108"/>
        <v>TEJAS SALUJA/FSD/Exceedance/B737/25-05/14</v>
      </c>
      <c r="Y353" s="13" t="s">
        <v>1227</v>
      </c>
      <c r="Z353" s="14">
        <v>45795</v>
      </c>
      <c r="AA353" s="14">
        <v>45796</v>
      </c>
      <c r="AB353" s="14">
        <v>45797</v>
      </c>
    </row>
    <row r="354" spans="1:28" ht="15" customHeight="1" x14ac:dyDescent="0.2">
      <c r="A354" s="8">
        <v>356</v>
      </c>
      <c r="B354" s="8" t="s">
        <v>125</v>
      </c>
      <c r="C354" s="14">
        <v>45793</v>
      </c>
      <c r="D354" s="8" t="s">
        <v>40</v>
      </c>
      <c r="E354" s="8" t="s">
        <v>943</v>
      </c>
      <c r="F354" s="8" t="s">
        <v>465</v>
      </c>
      <c r="G354" s="8" t="s">
        <v>763</v>
      </c>
      <c r="H354" s="8" t="s">
        <v>1221</v>
      </c>
      <c r="I354" s="8" t="s">
        <v>27</v>
      </c>
      <c r="J354" s="8" t="s">
        <v>28</v>
      </c>
      <c r="K354" s="31" t="s">
        <v>1226</v>
      </c>
      <c r="L354" s="8" t="s">
        <v>26</v>
      </c>
      <c r="O354" s="21" t="s">
        <v>1225</v>
      </c>
      <c r="P354" s="8" t="s">
        <v>157</v>
      </c>
      <c r="Q354" s="8" t="s">
        <v>125</v>
      </c>
      <c r="R354" s="8" t="s">
        <v>126</v>
      </c>
      <c r="S354" s="8" t="s">
        <v>125</v>
      </c>
      <c r="T354" s="8" t="s">
        <v>128</v>
      </c>
      <c r="U354" s="14">
        <v>45796</v>
      </c>
      <c r="X354" s="8" t="s">
        <v>127</v>
      </c>
      <c r="Y354" s="8" t="s">
        <v>1222</v>
      </c>
      <c r="Z354" s="14">
        <v>45795</v>
      </c>
    </row>
    <row r="355" spans="1:28" ht="15" customHeight="1" x14ac:dyDescent="0.2">
      <c r="A355" s="8">
        <v>357</v>
      </c>
      <c r="B355" s="8" t="s">
        <v>125</v>
      </c>
      <c r="C355" s="14">
        <v>45794</v>
      </c>
      <c r="D355" s="8" t="s">
        <v>66</v>
      </c>
      <c r="E355" s="8" t="s">
        <v>321</v>
      </c>
      <c r="F355" s="8" t="s">
        <v>635</v>
      </c>
      <c r="G355" s="8" t="s">
        <v>361</v>
      </c>
      <c r="H355" s="8" t="s">
        <v>195</v>
      </c>
      <c r="I355" s="8" t="s">
        <v>24</v>
      </c>
      <c r="J355" s="8">
        <v>1050</v>
      </c>
      <c r="K355" s="8">
        <v>1140</v>
      </c>
      <c r="L355" s="8" t="s">
        <v>25</v>
      </c>
      <c r="O355" s="8" t="s">
        <v>125</v>
      </c>
      <c r="P355" s="8" t="s">
        <v>123</v>
      </c>
      <c r="Q355" s="8" t="s">
        <v>125</v>
      </c>
      <c r="R355" s="8" t="s">
        <v>126</v>
      </c>
      <c r="S355" s="8" t="s">
        <v>125</v>
      </c>
      <c r="T355" s="8" t="s">
        <v>128</v>
      </c>
      <c r="U355" s="14">
        <v>45796</v>
      </c>
      <c r="X355" s="8" t="s">
        <v>127</v>
      </c>
      <c r="Y355" s="13" t="s">
        <v>1223</v>
      </c>
      <c r="Z355" s="14">
        <v>45795</v>
      </c>
    </row>
    <row r="356" spans="1:28" s="55" customFormat="1" ht="12.75" customHeight="1" x14ac:dyDescent="0.2">
      <c r="A356" s="55">
        <v>358</v>
      </c>
      <c r="B356" s="55" t="s">
        <v>125</v>
      </c>
      <c r="C356" s="56">
        <v>45794</v>
      </c>
      <c r="D356" s="55" t="s">
        <v>412</v>
      </c>
      <c r="E356" s="55" t="s">
        <v>102</v>
      </c>
      <c r="F356" s="55" t="s">
        <v>103</v>
      </c>
      <c r="G356" s="55" t="s">
        <v>303</v>
      </c>
      <c r="H356" s="55" t="s">
        <v>786</v>
      </c>
      <c r="I356" s="55" t="s">
        <v>1260</v>
      </c>
      <c r="J356" s="55">
        <v>3000</v>
      </c>
      <c r="K356" s="55">
        <v>3357</v>
      </c>
      <c r="L356" s="55" t="s">
        <v>26</v>
      </c>
      <c r="O356" s="55" t="s">
        <v>1243</v>
      </c>
      <c r="P356" s="55" t="s">
        <v>1259</v>
      </c>
      <c r="Q356" s="55" t="s">
        <v>418</v>
      </c>
      <c r="R356" s="55" t="s">
        <v>418</v>
      </c>
      <c r="S356" s="55" t="s">
        <v>418</v>
      </c>
      <c r="T356" s="55" t="s">
        <v>418</v>
      </c>
      <c r="U356" s="56"/>
      <c r="V356" s="56">
        <v>45796</v>
      </c>
      <c r="X356" s="55" t="str">
        <f t="shared" ref="X356:X360" si="109">G356&amp;AB$1&amp;O356</f>
        <v>AMALENDU/FSD/Exceedance/B737/25-05/16</v>
      </c>
      <c r="Y356" s="57" t="s">
        <v>1246</v>
      </c>
      <c r="Z356" s="56">
        <v>45796</v>
      </c>
    </row>
    <row r="357" spans="1:28" ht="12.75" customHeight="1" x14ac:dyDescent="0.2">
      <c r="A357" s="8">
        <v>359</v>
      </c>
      <c r="B357" s="8">
        <v>8466</v>
      </c>
      <c r="C357" s="14">
        <v>45795</v>
      </c>
      <c r="D357" s="8" t="s">
        <v>37</v>
      </c>
      <c r="E357" s="8" t="s">
        <v>1228</v>
      </c>
      <c r="F357" s="8" t="s">
        <v>221</v>
      </c>
      <c r="G357" s="8" t="s">
        <v>420</v>
      </c>
      <c r="H357" s="8" t="s">
        <v>47</v>
      </c>
      <c r="I357" s="8" t="s">
        <v>53</v>
      </c>
      <c r="J357" s="8">
        <v>300</v>
      </c>
      <c r="K357" s="8">
        <v>255</v>
      </c>
      <c r="L357" s="8" t="s">
        <v>25</v>
      </c>
      <c r="O357" s="21" t="s">
        <v>1244</v>
      </c>
      <c r="P357" s="8" t="s">
        <v>115</v>
      </c>
      <c r="Q357" s="8" t="s">
        <v>130</v>
      </c>
      <c r="R357" s="8" t="s">
        <v>117</v>
      </c>
      <c r="S357" s="8" t="s">
        <v>117</v>
      </c>
      <c r="T357" s="8" t="s">
        <v>117</v>
      </c>
      <c r="U357" s="20"/>
      <c r="V357" s="14">
        <v>45796</v>
      </c>
      <c r="X357" s="8" t="str">
        <f t="shared" si="109"/>
        <v>PARITOSH KUMAR SINGH/FSD/Exceedance/B737/25-05/17</v>
      </c>
      <c r="Y357" s="13" t="s">
        <v>1247</v>
      </c>
      <c r="Z357" s="14">
        <v>45796</v>
      </c>
    </row>
    <row r="358" spans="1:28" ht="12.75" customHeight="1" x14ac:dyDescent="0.2">
      <c r="A358" s="8">
        <v>360</v>
      </c>
      <c r="B358" s="8">
        <v>8466</v>
      </c>
      <c r="C358" s="14">
        <v>45795</v>
      </c>
      <c r="D358" s="8" t="s">
        <v>37</v>
      </c>
      <c r="E358" s="8" t="s">
        <v>1228</v>
      </c>
      <c r="F358" s="8" t="s">
        <v>221</v>
      </c>
      <c r="G358" s="8" t="s">
        <v>420</v>
      </c>
      <c r="H358" s="8" t="s">
        <v>47</v>
      </c>
      <c r="I358" s="8" t="s">
        <v>529</v>
      </c>
      <c r="J358" s="8" t="s">
        <v>530</v>
      </c>
      <c r="K358" s="8">
        <v>22.5</v>
      </c>
      <c r="L358" s="8" t="s">
        <v>42</v>
      </c>
      <c r="O358" s="21" t="s">
        <v>1244</v>
      </c>
      <c r="P358" s="8" t="s">
        <v>115</v>
      </c>
      <c r="Q358" s="8" t="s">
        <v>130</v>
      </c>
      <c r="R358" s="8" t="s">
        <v>117</v>
      </c>
      <c r="S358" s="8" t="s">
        <v>117</v>
      </c>
      <c r="T358" s="8" t="s">
        <v>117</v>
      </c>
      <c r="U358" s="20"/>
      <c r="V358" s="14">
        <v>45796</v>
      </c>
      <c r="X358" s="8" t="str">
        <f t="shared" si="109"/>
        <v>PARITOSH KUMAR SINGH/FSD/Exceedance/B737/25-05/17</v>
      </c>
      <c r="Y358" s="13" t="s">
        <v>1248</v>
      </c>
      <c r="Z358" s="14">
        <v>45796</v>
      </c>
    </row>
    <row r="359" spans="1:28" ht="12.75" customHeight="1" x14ac:dyDescent="0.2">
      <c r="A359" s="8">
        <v>361</v>
      </c>
      <c r="B359" s="8">
        <v>8466</v>
      </c>
      <c r="C359" s="14">
        <v>45795</v>
      </c>
      <c r="D359" s="8" t="s">
        <v>37</v>
      </c>
      <c r="E359" s="8" t="s">
        <v>1228</v>
      </c>
      <c r="F359" s="8" t="s">
        <v>221</v>
      </c>
      <c r="G359" s="8" t="s">
        <v>420</v>
      </c>
      <c r="H359" s="8" t="s">
        <v>47</v>
      </c>
      <c r="I359" s="8" t="s">
        <v>136</v>
      </c>
      <c r="J359" s="8" t="s">
        <v>532</v>
      </c>
      <c r="K359" s="8" t="s">
        <v>878</v>
      </c>
      <c r="L359" s="8" t="s">
        <v>42</v>
      </c>
      <c r="O359" s="21" t="s">
        <v>1244</v>
      </c>
      <c r="P359" s="8" t="s">
        <v>115</v>
      </c>
      <c r="Q359" s="8" t="s">
        <v>130</v>
      </c>
      <c r="R359" s="8" t="s">
        <v>117</v>
      </c>
      <c r="S359" s="8" t="s">
        <v>117</v>
      </c>
      <c r="T359" s="8" t="s">
        <v>117</v>
      </c>
      <c r="U359" s="20"/>
      <c r="V359" s="14">
        <v>45796</v>
      </c>
      <c r="X359" s="8" t="str">
        <f t="shared" si="109"/>
        <v>PARITOSH KUMAR SINGH/FSD/Exceedance/B737/25-05/17</v>
      </c>
      <c r="Y359" s="13" t="s">
        <v>1249</v>
      </c>
      <c r="Z359" s="14">
        <v>45796</v>
      </c>
    </row>
    <row r="360" spans="1:28" ht="12.75" customHeight="1" x14ac:dyDescent="0.2">
      <c r="A360" s="8">
        <v>362</v>
      </c>
      <c r="B360" s="8">
        <v>8467</v>
      </c>
      <c r="C360" s="14">
        <v>45794</v>
      </c>
      <c r="D360" s="8" t="s">
        <v>48</v>
      </c>
      <c r="E360" s="8" t="s">
        <v>1229</v>
      </c>
      <c r="F360" s="8" t="s">
        <v>1230</v>
      </c>
      <c r="G360" s="8" t="s">
        <v>646</v>
      </c>
      <c r="H360" s="8" t="s">
        <v>216</v>
      </c>
      <c r="I360" s="8" t="s">
        <v>261</v>
      </c>
      <c r="J360" s="8">
        <v>30</v>
      </c>
      <c r="K360" s="8">
        <v>31.5</v>
      </c>
      <c r="L360" s="8" t="s">
        <v>202</v>
      </c>
      <c r="O360" s="21" t="s">
        <v>1245</v>
      </c>
      <c r="P360" s="8" t="s">
        <v>115</v>
      </c>
      <c r="Q360" s="8" t="s">
        <v>130</v>
      </c>
      <c r="R360" s="8" t="s">
        <v>219</v>
      </c>
      <c r="S360" s="8" t="s">
        <v>117</v>
      </c>
      <c r="T360" s="8" t="s">
        <v>1100</v>
      </c>
      <c r="U360" s="20">
        <v>45797</v>
      </c>
      <c r="V360" s="14">
        <v>45796</v>
      </c>
      <c r="X360" s="8" t="str">
        <f t="shared" si="109"/>
        <v>NITIN DEV SAVLODIA/FSD/Exceedance/B737/25-05/18</v>
      </c>
      <c r="Y360" s="13" t="s">
        <v>1250</v>
      </c>
      <c r="Z360" s="14">
        <v>45796</v>
      </c>
    </row>
    <row r="361" spans="1:28" ht="12.75" customHeight="1" x14ac:dyDescent="0.2">
      <c r="A361" s="8">
        <v>363</v>
      </c>
      <c r="B361" s="8" t="s">
        <v>125</v>
      </c>
      <c r="C361" s="20">
        <v>45793</v>
      </c>
      <c r="D361" s="8" t="s">
        <v>412</v>
      </c>
      <c r="E361" s="8" t="s">
        <v>1185</v>
      </c>
      <c r="F361" s="8" t="s">
        <v>1186</v>
      </c>
      <c r="G361" s="8" t="s">
        <v>764</v>
      </c>
      <c r="H361" s="8" t="s">
        <v>665</v>
      </c>
      <c r="I361" s="13" t="s">
        <v>466</v>
      </c>
      <c r="J361" s="13" t="s">
        <v>834</v>
      </c>
      <c r="K361" s="13" t="s">
        <v>1231</v>
      </c>
      <c r="L361" s="13" t="s">
        <v>42</v>
      </c>
      <c r="O361" s="8" t="s">
        <v>125</v>
      </c>
      <c r="P361" s="8" t="s">
        <v>123</v>
      </c>
      <c r="Q361" s="8" t="s">
        <v>125</v>
      </c>
      <c r="R361" s="8" t="s">
        <v>126</v>
      </c>
      <c r="S361" s="8" t="s">
        <v>125</v>
      </c>
      <c r="T361" s="8" t="s">
        <v>128</v>
      </c>
      <c r="U361" s="14">
        <v>45797</v>
      </c>
      <c r="V361" s="14" t="s">
        <v>125</v>
      </c>
      <c r="X361" s="8" t="s">
        <v>127</v>
      </c>
      <c r="Y361" s="13" t="s">
        <v>1251</v>
      </c>
      <c r="Z361" s="14">
        <v>45796</v>
      </c>
    </row>
    <row r="362" spans="1:28" ht="12.75" customHeight="1" x14ac:dyDescent="0.2">
      <c r="A362" s="8">
        <v>364</v>
      </c>
      <c r="B362" s="8" t="s">
        <v>125</v>
      </c>
      <c r="C362" s="14">
        <v>45792</v>
      </c>
      <c r="D362" s="8" t="s">
        <v>412</v>
      </c>
      <c r="E362" s="8" t="s">
        <v>1232</v>
      </c>
      <c r="F362" s="8" t="s">
        <v>1233</v>
      </c>
      <c r="G362" s="8" t="s">
        <v>224</v>
      </c>
      <c r="H362" s="8" t="s">
        <v>104</v>
      </c>
      <c r="I362" s="8" t="s">
        <v>57</v>
      </c>
      <c r="J362" s="8">
        <v>30</v>
      </c>
      <c r="K362" s="8">
        <v>31.8</v>
      </c>
      <c r="L362" s="8" t="s">
        <v>36</v>
      </c>
      <c r="O362" s="8" t="s">
        <v>125</v>
      </c>
      <c r="P362" s="8" t="s">
        <v>123</v>
      </c>
      <c r="Q362" s="8" t="s">
        <v>125</v>
      </c>
      <c r="R362" s="8" t="s">
        <v>126</v>
      </c>
      <c r="S362" s="8" t="s">
        <v>125</v>
      </c>
      <c r="T362" s="8" t="s">
        <v>128</v>
      </c>
      <c r="U362" s="14">
        <v>45797</v>
      </c>
      <c r="V362" s="14" t="s">
        <v>125</v>
      </c>
      <c r="X362" s="8" t="s">
        <v>127</v>
      </c>
      <c r="Y362" s="13" t="s">
        <v>1252</v>
      </c>
      <c r="Z362" s="14">
        <v>45796</v>
      </c>
    </row>
    <row r="363" spans="1:28" ht="12.75" customHeight="1" x14ac:dyDescent="0.2">
      <c r="A363" s="8">
        <v>366</v>
      </c>
      <c r="B363" s="8" t="s">
        <v>125</v>
      </c>
      <c r="C363" s="20">
        <v>45795</v>
      </c>
      <c r="D363" s="8" t="s">
        <v>191</v>
      </c>
      <c r="E363" s="8" t="s">
        <v>198</v>
      </c>
      <c r="F363" s="8" t="s">
        <v>347</v>
      </c>
      <c r="G363" s="8" t="s">
        <v>511</v>
      </c>
      <c r="H363" s="8" t="s">
        <v>1237</v>
      </c>
      <c r="I363" s="8" t="s">
        <v>136</v>
      </c>
      <c r="J363" s="8" t="s">
        <v>382</v>
      </c>
      <c r="K363" s="8" t="s">
        <v>1238</v>
      </c>
      <c r="L363" s="8" t="s">
        <v>42</v>
      </c>
      <c r="O363" s="8" t="s">
        <v>125</v>
      </c>
      <c r="P363" s="8" t="s">
        <v>123</v>
      </c>
      <c r="Q363" s="8" t="s">
        <v>125</v>
      </c>
      <c r="R363" s="8" t="s">
        <v>126</v>
      </c>
      <c r="S363" s="8" t="s">
        <v>125</v>
      </c>
      <c r="T363" s="8" t="s">
        <v>128</v>
      </c>
      <c r="U363" s="14">
        <v>45797</v>
      </c>
      <c r="V363" s="14" t="s">
        <v>125</v>
      </c>
      <c r="X363" s="8" t="s">
        <v>127</v>
      </c>
      <c r="Y363" s="13" t="s">
        <v>1254</v>
      </c>
      <c r="Z363" s="14">
        <v>45796</v>
      </c>
    </row>
    <row r="364" spans="1:28" ht="12.75" customHeight="1" x14ac:dyDescent="0.2">
      <c r="A364" s="8">
        <v>367</v>
      </c>
      <c r="B364" s="8" t="s">
        <v>125</v>
      </c>
      <c r="C364" s="20">
        <v>45793</v>
      </c>
      <c r="D364" s="8" t="s">
        <v>37</v>
      </c>
      <c r="E364" s="8" t="s">
        <v>101</v>
      </c>
      <c r="F364" s="8" t="s">
        <v>41</v>
      </c>
      <c r="G364" s="8" t="s">
        <v>336</v>
      </c>
      <c r="H364" s="8" t="s">
        <v>554</v>
      </c>
      <c r="I364" s="8" t="s">
        <v>57</v>
      </c>
      <c r="J364" s="8">
        <v>30</v>
      </c>
      <c r="K364" s="8">
        <v>31.5</v>
      </c>
      <c r="L364" s="8" t="s">
        <v>36</v>
      </c>
      <c r="O364" s="8" t="s">
        <v>125</v>
      </c>
      <c r="P364" s="8" t="s">
        <v>123</v>
      </c>
      <c r="Q364" s="8" t="s">
        <v>125</v>
      </c>
      <c r="R364" s="8" t="s">
        <v>126</v>
      </c>
      <c r="S364" s="8" t="s">
        <v>125</v>
      </c>
      <c r="T364" s="8" t="s">
        <v>128</v>
      </c>
      <c r="U364" s="14">
        <v>45797</v>
      </c>
      <c r="V364" s="14" t="s">
        <v>125</v>
      </c>
      <c r="X364" s="8" t="s">
        <v>127</v>
      </c>
      <c r="Y364" s="13" t="s">
        <v>1255</v>
      </c>
      <c r="Z364" s="14">
        <v>45796</v>
      </c>
    </row>
    <row r="365" spans="1:28" ht="12.75" customHeight="1" x14ac:dyDescent="0.2">
      <c r="A365" s="8">
        <v>368</v>
      </c>
      <c r="B365" s="8" t="s">
        <v>125</v>
      </c>
      <c r="C365" s="14">
        <v>45795</v>
      </c>
      <c r="D365" s="8" t="s">
        <v>191</v>
      </c>
      <c r="E365" s="8" t="s">
        <v>940</v>
      </c>
      <c r="F365" s="8" t="s">
        <v>857</v>
      </c>
      <c r="G365" s="8" t="s">
        <v>962</v>
      </c>
      <c r="H365" s="8" t="s">
        <v>1239</v>
      </c>
      <c r="I365" s="8" t="s">
        <v>391</v>
      </c>
      <c r="J365" s="8" t="s">
        <v>392</v>
      </c>
      <c r="K365" s="8" t="s">
        <v>1240</v>
      </c>
      <c r="L365" s="8" t="s">
        <v>42</v>
      </c>
      <c r="O365" s="8" t="s">
        <v>125</v>
      </c>
      <c r="P365" s="8" t="s">
        <v>123</v>
      </c>
      <c r="Q365" s="8" t="s">
        <v>125</v>
      </c>
      <c r="R365" s="8" t="s">
        <v>126</v>
      </c>
      <c r="S365" s="8" t="s">
        <v>125</v>
      </c>
      <c r="T365" s="8" t="s">
        <v>128</v>
      </c>
      <c r="U365" s="14">
        <v>45797</v>
      </c>
      <c r="V365" s="14" t="s">
        <v>125</v>
      </c>
      <c r="X365" s="8" t="s">
        <v>127</v>
      </c>
      <c r="Y365" s="13" t="s">
        <v>1256</v>
      </c>
      <c r="Z365" s="14">
        <v>45796</v>
      </c>
    </row>
    <row r="366" spans="1:28" ht="15" customHeight="1" x14ac:dyDescent="0.2">
      <c r="A366" s="8">
        <v>369</v>
      </c>
      <c r="B366" s="8" t="s">
        <v>125</v>
      </c>
      <c r="C366" s="14">
        <v>45795</v>
      </c>
      <c r="D366" s="8" t="s">
        <v>144</v>
      </c>
      <c r="E366" s="8" t="s">
        <v>1241</v>
      </c>
      <c r="F366" s="8" t="s">
        <v>1242</v>
      </c>
      <c r="G366" s="8" t="s">
        <v>493</v>
      </c>
      <c r="H366" s="8" t="s">
        <v>445</v>
      </c>
      <c r="I366" s="8" t="s">
        <v>391</v>
      </c>
      <c r="J366" s="8" t="s">
        <v>392</v>
      </c>
      <c r="K366" s="8" t="s">
        <v>393</v>
      </c>
      <c r="L366" s="8" t="s">
        <v>42</v>
      </c>
      <c r="O366" s="8" t="s">
        <v>125</v>
      </c>
      <c r="P366" s="8" t="s">
        <v>123</v>
      </c>
      <c r="Q366" s="8" t="s">
        <v>125</v>
      </c>
      <c r="R366" s="8" t="s">
        <v>126</v>
      </c>
      <c r="S366" s="8" t="s">
        <v>125</v>
      </c>
      <c r="T366" s="8" t="s">
        <v>128</v>
      </c>
      <c r="U366" s="14">
        <v>45797</v>
      </c>
      <c r="V366" s="14" t="s">
        <v>125</v>
      </c>
      <c r="X366" s="8" t="s">
        <v>127</v>
      </c>
      <c r="Y366" s="13" t="s">
        <v>1257</v>
      </c>
      <c r="Z366" s="14">
        <v>45796</v>
      </c>
    </row>
    <row r="367" spans="1:28" ht="15" customHeight="1" x14ac:dyDescent="0.2">
      <c r="A367" s="8">
        <v>370</v>
      </c>
      <c r="B367" s="8">
        <v>8468</v>
      </c>
      <c r="C367" s="20">
        <v>45793</v>
      </c>
      <c r="D367" s="8" t="s">
        <v>66</v>
      </c>
      <c r="E367" s="8" t="s">
        <v>1234</v>
      </c>
      <c r="F367" s="8" t="s">
        <v>888</v>
      </c>
      <c r="G367" s="8" t="s">
        <v>1235</v>
      </c>
      <c r="H367" s="8" t="s">
        <v>225</v>
      </c>
      <c r="I367" s="13" t="s">
        <v>58</v>
      </c>
      <c r="J367" s="13">
        <v>1000</v>
      </c>
      <c r="K367" s="13" t="s">
        <v>1236</v>
      </c>
      <c r="L367" s="13" t="s">
        <v>26</v>
      </c>
      <c r="O367" s="21" t="s">
        <v>1258</v>
      </c>
      <c r="P367" s="8" t="s">
        <v>115</v>
      </c>
      <c r="Q367" s="8" t="s">
        <v>130</v>
      </c>
      <c r="R367" s="8" t="s">
        <v>1262</v>
      </c>
      <c r="S367" s="8" t="s">
        <v>117</v>
      </c>
      <c r="T367" s="8" t="s">
        <v>1199</v>
      </c>
      <c r="U367" s="14">
        <v>45797</v>
      </c>
      <c r="V367" s="14">
        <v>45796</v>
      </c>
      <c r="X367" s="8" t="str">
        <f t="shared" ref="X367:X368" si="110">G367&amp;AB$1&amp;O367</f>
        <v>ANUBHAV KUMAR
/FSD/Exceedance/B737/25-05/19</v>
      </c>
      <c r="Y367" s="13" t="s">
        <v>1253</v>
      </c>
      <c r="Z367" s="14">
        <v>45796</v>
      </c>
    </row>
    <row r="368" spans="1:28" ht="15" customHeight="1" x14ac:dyDescent="0.2">
      <c r="A368" s="8">
        <v>371</v>
      </c>
      <c r="B368" s="8">
        <v>8465</v>
      </c>
      <c r="C368" s="14">
        <v>45794</v>
      </c>
      <c r="D368" s="8" t="s">
        <v>412</v>
      </c>
      <c r="E368" s="8" t="s">
        <v>102</v>
      </c>
      <c r="F368" s="8" t="s">
        <v>103</v>
      </c>
      <c r="G368" s="8" t="s">
        <v>477</v>
      </c>
      <c r="H368" s="8" t="s">
        <v>142</v>
      </c>
      <c r="I368" s="8" t="s">
        <v>232</v>
      </c>
      <c r="J368" s="8">
        <v>3000</v>
      </c>
      <c r="K368" s="8">
        <v>3357</v>
      </c>
      <c r="L368" s="8" t="s">
        <v>26</v>
      </c>
      <c r="O368" s="21" t="s">
        <v>1261</v>
      </c>
      <c r="P368" s="8" t="s">
        <v>115</v>
      </c>
      <c r="Q368" s="8" t="s">
        <v>130</v>
      </c>
      <c r="R368" s="8" t="s">
        <v>1262</v>
      </c>
      <c r="S368" s="8" t="s">
        <v>117</v>
      </c>
      <c r="T368" s="8" t="s">
        <v>1100</v>
      </c>
      <c r="U368" s="20">
        <v>45806</v>
      </c>
      <c r="V368" s="14">
        <v>45797</v>
      </c>
      <c r="X368" s="8" t="str">
        <f t="shared" si="110"/>
        <v>HARINDER SINGH/FSD/Exceedance/B737/25-05/20</v>
      </c>
      <c r="Y368" s="13" t="s">
        <v>1246</v>
      </c>
      <c r="Z368" s="14">
        <v>45797</v>
      </c>
    </row>
    <row r="369" spans="1:26" ht="15" customHeight="1" x14ac:dyDescent="0.2">
      <c r="A369" s="8">
        <v>372</v>
      </c>
      <c r="B369" s="8" t="s">
        <v>125</v>
      </c>
      <c r="C369" s="12">
        <v>45796</v>
      </c>
      <c r="D369" s="13" t="s">
        <v>168</v>
      </c>
      <c r="E369" s="13" t="s">
        <v>1263</v>
      </c>
      <c r="F369" s="13" t="s">
        <v>41</v>
      </c>
      <c r="G369" s="13" t="s">
        <v>112</v>
      </c>
      <c r="H369" s="13" t="s">
        <v>33</v>
      </c>
      <c r="I369" s="13" t="s">
        <v>27</v>
      </c>
      <c r="J369" s="13" t="s">
        <v>28</v>
      </c>
      <c r="K369" s="13" t="s">
        <v>1264</v>
      </c>
      <c r="L369" s="13" t="s">
        <v>26</v>
      </c>
      <c r="O369" s="21" t="s">
        <v>1265</v>
      </c>
      <c r="P369" s="8" t="s">
        <v>157</v>
      </c>
      <c r="Q369" s="8" t="s">
        <v>125</v>
      </c>
      <c r="R369" s="8" t="s">
        <v>126</v>
      </c>
      <c r="S369" s="8" t="s">
        <v>125</v>
      </c>
      <c r="T369" s="8" t="s">
        <v>128</v>
      </c>
      <c r="U369" s="14">
        <v>45798</v>
      </c>
      <c r="V369" s="14" t="s">
        <v>125</v>
      </c>
      <c r="X369" s="8" t="s">
        <v>127</v>
      </c>
      <c r="Y369" s="13" t="s">
        <v>1266</v>
      </c>
      <c r="Z369" s="14">
        <v>45797</v>
      </c>
    </row>
    <row r="370" spans="1:26" ht="15" customHeight="1" x14ac:dyDescent="0.2">
      <c r="A370" s="8">
        <v>373</v>
      </c>
      <c r="B370" s="8" t="s">
        <v>125</v>
      </c>
      <c r="C370" s="12">
        <v>45796</v>
      </c>
      <c r="D370" s="13" t="s">
        <v>168</v>
      </c>
      <c r="E370" s="13" t="s">
        <v>1263</v>
      </c>
      <c r="F370" s="13" t="s">
        <v>41</v>
      </c>
      <c r="G370" s="13" t="s">
        <v>112</v>
      </c>
      <c r="H370" s="13" t="s">
        <v>33</v>
      </c>
      <c r="I370" s="13" t="s">
        <v>1216</v>
      </c>
      <c r="J370" s="13">
        <v>1300</v>
      </c>
      <c r="K370" s="13">
        <v>1485</v>
      </c>
      <c r="L370" s="13" t="s">
        <v>25</v>
      </c>
      <c r="O370" s="8" t="s">
        <v>125</v>
      </c>
      <c r="P370" s="8" t="s">
        <v>123</v>
      </c>
      <c r="Q370" s="8" t="s">
        <v>125</v>
      </c>
      <c r="R370" s="8" t="s">
        <v>126</v>
      </c>
      <c r="S370" s="8" t="s">
        <v>125</v>
      </c>
      <c r="T370" s="8" t="s">
        <v>128</v>
      </c>
      <c r="U370" s="14">
        <v>45798</v>
      </c>
      <c r="V370" s="14" t="s">
        <v>125</v>
      </c>
      <c r="X370" s="8" t="s">
        <v>127</v>
      </c>
      <c r="Y370" s="13" t="s">
        <v>1267</v>
      </c>
      <c r="Z370" s="14">
        <v>45797</v>
      </c>
    </row>
    <row r="371" spans="1:26" ht="15" customHeight="1" x14ac:dyDescent="0.2">
      <c r="A371" s="8">
        <v>374</v>
      </c>
      <c r="B371" s="8" t="s">
        <v>125</v>
      </c>
      <c r="C371" s="14">
        <v>45798</v>
      </c>
      <c r="D371" s="8" t="s">
        <v>37</v>
      </c>
      <c r="E371" s="8" t="s">
        <v>1269</v>
      </c>
      <c r="F371" s="8" t="s">
        <v>221</v>
      </c>
      <c r="G371" s="8" t="s">
        <v>420</v>
      </c>
      <c r="H371" s="8" t="s">
        <v>304</v>
      </c>
      <c r="I371" s="8" t="s">
        <v>27</v>
      </c>
      <c r="J371" s="8" t="s">
        <v>28</v>
      </c>
      <c r="K371" s="8" t="s">
        <v>1270</v>
      </c>
      <c r="L371" s="8" t="s">
        <v>26</v>
      </c>
      <c r="O371" s="21" t="s">
        <v>1272</v>
      </c>
      <c r="P371" s="8" t="s">
        <v>123</v>
      </c>
      <c r="Q371" s="8" t="s">
        <v>125</v>
      </c>
      <c r="R371" s="8" t="s">
        <v>126</v>
      </c>
      <c r="S371" s="8" t="s">
        <v>125</v>
      </c>
      <c r="T371" s="8" t="s">
        <v>128</v>
      </c>
      <c r="U371" s="14">
        <v>45800</v>
      </c>
      <c r="V371" s="14" t="s">
        <v>125</v>
      </c>
      <c r="X371" s="8" t="s">
        <v>127</v>
      </c>
      <c r="Y371" s="13" t="s">
        <v>1271</v>
      </c>
      <c r="Z371" s="14">
        <v>45799</v>
      </c>
    </row>
    <row r="372" spans="1:26" ht="15" customHeight="1" x14ac:dyDescent="0.2">
      <c r="A372" s="8">
        <v>375</v>
      </c>
      <c r="B372" s="8" t="s">
        <v>125</v>
      </c>
      <c r="C372" s="20">
        <v>45797</v>
      </c>
      <c r="D372" s="8" t="s">
        <v>412</v>
      </c>
      <c r="E372" s="8" t="s">
        <v>1185</v>
      </c>
      <c r="F372" s="13" t="s">
        <v>1186</v>
      </c>
      <c r="G372" s="13" t="s">
        <v>186</v>
      </c>
      <c r="H372" s="13" t="s">
        <v>862</v>
      </c>
      <c r="I372" s="8" t="s">
        <v>24</v>
      </c>
      <c r="J372" s="8">
        <v>1050</v>
      </c>
      <c r="K372" s="8">
        <v>1136</v>
      </c>
      <c r="L372" s="8" t="s">
        <v>25</v>
      </c>
      <c r="O372" s="8" t="s">
        <v>125</v>
      </c>
      <c r="P372" s="8" t="s">
        <v>123</v>
      </c>
      <c r="Q372" s="8" t="s">
        <v>125</v>
      </c>
      <c r="R372" s="8" t="s">
        <v>126</v>
      </c>
      <c r="S372" s="8" t="s">
        <v>125</v>
      </c>
      <c r="T372" s="8" t="s">
        <v>128</v>
      </c>
      <c r="U372" s="14">
        <v>45800</v>
      </c>
      <c r="V372" s="14" t="s">
        <v>125</v>
      </c>
      <c r="X372" s="8" t="s">
        <v>127</v>
      </c>
      <c r="Y372" s="13" t="s">
        <v>1273</v>
      </c>
      <c r="Z372" s="14">
        <v>45799</v>
      </c>
    </row>
    <row r="373" spans="1:26" ht="15" customHeight="1" x14ac:dyDescent="0.2">
      <c r="A373" s="8">
        <v>376</v>
      </c>
      <c r="B373" s="8">
        <v>8492</v>
      </c>
      <c r="C373" s="20">
        <v>45799</v>
      </c>
      <c r="D373" s="8" t="s">
        <v>168</v>
      </c>
      <c r="E373" s="8" t="s">
        <v>1274</v>
      </c>
      <c r="F373" s="8" t="s">
        <v>1275</v>
      </c>
      <c r="G373" s="8" t="s">
        <v>194</v>
      </c>
      <c r="H373" s="8" t="s">
        <v>668</v>
      </c>
      <c r="I373" s="13" t="s">
        <v>58</v>
      </c>
      <c r="J373" s="13">
        <v>1000</v>
      </c>
      <c r="K373" s="13" t="s">
        <v>1276</v>
      </c>
      <c r="L373" s="13" t="s">
        <v>26</v>
      </c>
      <c r="O373" s="21" t="s">
        <v>1282</v>
      </c>
      <c r="P373" s="8" t="s">
        <v>115</v>
      </c>
      <c r="Q373" s="8" t="s">
        <v>130</v>
      </c>
      <c r="R373" s="8" t="s">
        <v>117</v>
      </c>
      <c r="S373" s="8" t="s">
        <v>117</v>
      </c>
      <c r="T373" s="8" t="s">
        <v>117</v>
      </c>
      <c r="U373" s="20"/>
      <c r="V373" s="20">
        <v>45800</v>
      </c>
      <c r="X373" s="8" t="str">
        <f t="shared" ref="X373:X375" si="111">G373&amp;AB$1&amp;O373</f>
        <v>MAHENDRA KUVARJI CHHEDA/FSD/Exceedance/B737/25-05/23</v>
      </c>
      <c r="Y373" s="13" t="s">
        <v>1278</v>
      </c>
      <c r="Z373" s="14">
        <v>45800</v>
      </c>
    </row>
    <row r="374" spans="1:26" ht="15" customHeight="1" x14ac:dyDescent="0.2">
      <c r="A374" s="8">
        <v>377</v>
      </c>
      <c r="B374" s="8">
        <v>8492</v>
      </c>
      <c r="C374" s="20">
        <v>45799</v>
      </c>
      <c r="D374" s="8" t="s">
        <v>168</v>
      </c>
      <c r="E374" s="8" t="s">
        <v>1274</v>
      </c>
      <c r="F374" s="8" t="s">
        <v>1275</v>
      </c>
      <c r="G374" s="8" t="s">
        <v>194</v>
      </c>
      <c r="H374" s="8" t="s">
        <v>668</v>
      </c>
      <c r="I374" s="13" t="s">
        <v>89</v>
      </c>
      <c r="J374" s="13" t="s">
        <v>889</v>
      </c>
      <c r="K374" s="13" t="s">
        <v>685</v>
      </c>
      <c r="L374" s="13" t="s">
        <v>42</v>
      </c>
      <c r="O374" s="21" t="s">
        <v>1282</v>
      </c>
      <c r="P374" s="8" t="s">
        <v>115</v>
      </c>
      <c r="Q374" s="8" t="s">
        <v>130</v>
      </c>
      <c r="R374" s="8" t="s">
        <v>117</v>
      </c>
      <c r="S374" s="8" t="s">
        <v>117</v>
      </c>
      <c r="T374" s="8" t="s">
        <v>117</v>
      </c>
      <c r="U374" s="20"/>
      <c r="V374" s="20">
        <v>45800</v>
      </c>
      <c r="X374" s="8" t="str">
        <f t="shared" si="111"/>
        <v>MAHENDRA KUVARJI CHHEDA/FSD/Exceedance/B737/25-05/23</v>
      </c>
      <c r="Y374" s="13" t="s">
        <v>1279</v>
      </c>
      <c r="Z374" s="14">
        <v>45800</v>
      </c>
    </row>
    <row r="375" spans="1:26" ht="13.5" customHeight="1" x14ac:dyDescent="0.2">
      <c r="A375" s="8">
        <v>378</v>
      </c>
      <c r="B375" s="8">
        <v>8493</v>
      </c>
      <c r="C375" s="20">
        <v>45799</v>
      </c>
      <c r="D375" s="13" t="s">
        <v>191</v>
      </c>
      <c r="E375" s="13" t="s">
        <v>198</v>
      </c>
      <c r="F375" s="13" t="s">
        <v>347</v>
      </c>
      <c r="G375" s="13" t="s">
        <v>511</v>
      </c>
      <c r="H375" s="13" t="s">
        <v>499</v>
      </c>
      <c r="I375" s="8" t="s">
        <v>78</v>
      </c>
      <c r="J375" s="8">
        <v>2</v>
      </c>
      <c r="K375" s="8">
        <v>2.0529999999999999</v>
      </c>
      <c r="L375" s="8" t="s">
        <v>79</v>
      </c>
      <c r="O375" s="21" t="s">
        <v>1283</v>
      </c>
      <c r="P375" s="13" t="s">
        <v>123</v>
      </c>
      <c r="Q375" s="8" t="s">
        <v>130</v>
      </c>
      <c r="R375" s="8" t="s">
        <v>1335</v>
      </c>
      <c r="S375" s="8" t="s">
        <v>117</v>
      </c>
      <c r="T375" s="8" t="s">
        <v>117</v>
      </c>
      <c r="U375" s="20">
        <v>45807</v>
      </c>
      <c r="V375" s="20">
        <v>45800</v>
      </c>
      <c r="X375" s="8" t="str">
        <f t="shared" si="111"/>
        <v>MANABENDRA DEKA/FSD/Exceedance/B737/25-05/24</v>
      </c>
      <c r="Y375" s="13" t="s">
        <v>1280</v>
      </c>
      <c r="Z375" s="14">
        <v>45800</v>
      </c>
    </row>
    <row r="376" spans="1:26" ht="15" customHeight="1" x14ac:dyDescent="0.2">
      <c r="A376" s="8">
        <v>379</v>
      </c>
      <c r="B376" s="8" t="s">
        <v>125</v>
      </c>
      <c r="C376" s="14">
        <v>45799</v>
      </c>
      <c r="D376" s="8" t="s">
        <v>412</v>
      </c>
      <c r="E376" s="8" t="s">
        <v>330</v>
      </c>
      <c r="F376" s="8" t="s">
        <v>95</v>
      </c>
      <c r="G376" s="8" t="s">
        <v>511</v>
      </c>
      <c r="H376" s="8" t="s">
        <v>499</v>
      </c>
      <c r="I376" s="8" t="s">
        <v>27</v>
      </c>
      <c r="J376" s="8" t="s">
        <v>28</v>
      </c>
      <c r="K376" s="8" t="s">
        <v>1277</v>
      </c>
      <c r="L376" s="8" t="s">
        <v>26</v>
      </c>
      <c r="O376" s="21" t="s">
        <v>1284</v>
      </c>
      <c r="P376" s="8" t="s">
        <v>157</v>
      </c>
      <c r="Q376" s="8" t="s">
        <v>125</v>
      </c>
      <c r="R376" s="8" t="s">
        <v>126</v>
      </c>
      <c r="S376" s="8" t="s">
        <v>125</v>
      </c>
      <c r="T376" s="8" t="s">
        <v>128</v>
      </c>
      <c r="U376" s="14"/>
      <c r="V376" s="14" t="s">
        <v>125</v>
      </c>
      <c r="X376" s="8" t="s">
        <v>127</v>
      </c>
      <c r="Y376" s="13" t="s">
        <v>1281</v>
      </c>
      <c r="Z376" s="14">
        <v>45800</v>
      </c>
    </row>
    <row r="377" spans="1:26" ht="15" customHeight="1" x14ac:dyDescent="0.2">
      <c r="A377" s="8">
        <v>380</v>
      </c>
      <c r="B377" s="8" t="s">
        <v>125</v>
      </c>
      <c r="C377" s="20">
        <v>45800</v>
      </c>
      <c r="D377" s="8" t="s">
        <v>139</v>
      </c>
      <c r="E377" s="8" t="s">
        <v>1177</v>
      </c>
      <c r="F377" s="8" t="s">
        <v>268</v>
      </c>
      <c r="G377" s="8" t="s">
        <v>713</v>
      </c>
      <c r="H377" s="8" t="s">
        <v>98</v>
      </c>
      <c r="I377" s="8" t="s">
        <v>27</v>
      </c>
      <c r="J377" s="13" t="s">
        <v>294</v>
      </c>
      <c r="K377" s="8">
        <v>831</v>
      </c>
      <c r="L377" s="8" t="s">
        <v>26</v>
      </c>
      <c r="O377" s="21" t="s">
        <v>1291</v>
      </c>
      <c r="P377" s="8" t="s">
        <v>123</v>
      </c>
      <c r="Q377" s="8" t="s">
        <v>125</v>
      </c>
      <c r="R377" s="8" t="s">
        <v>126</v>
      </c>
      <c r="S377" s="8" t="s">
        <v>125</v>
      </c>
      <c r="T377" s="8" t="s">
        <v>128</v>
      </c>
      <c r="U377" s="20"/>
      <c r="V377" s="14" t="s">
        <v>125</v>
      </c>
      <c r="X377" s="8" t="s">
        <v>127</v>
      </c>
      <c r="Y377" s="8" t="s">
        <v>1288</v>
      </c>
      <c r="Z377" s="14">
        <v>45801</v>
      </c>
    </row>
    <row r="378" spans="1:26" ht="15" customHeight="1" x14ac:dyDescent="0.2">
      <c r="A378" s="8">
        <v>381</v>
      </c>
      <c r="B378" s="8" t="s">
        <v>125</v>
      </c>
      <c r="C378" s="20">
        <v>45800</v>
      </c>
      <c r="D378" s="8" t="s">
        <v>40</v>
      </c>
      <c r="E378" s="8" t="s">
        <v>1285</v>
      </c>
      <c r="F378" s="8" t="s">
        <v>1286</v>
      </c>
      <c r="G378" s="8" t="s">
        <v>235</v>
      </c>
      <c r="H378" s="8" t="s">
        <v>113</v>
      </c>
      <c r="I378" s="8" t="s">
        <v>27</v>
      </c>
      <c r="J378" s="13" t="s">
        <v>294</v>
      </c>
      <c r="K378" s="8">
        <v>788</v>
      </c>
      <c r="L378" s="8" t="s">
        <v>26</v>
      </c>
      <c r="O378" s="21" t="s">
        <v>1292</v>
      </c>
      <c r="P378" s="8" t="s">
        <v>123</v>
      </c>
      <c r="Q378" s="8" t="s">
        <v>125</v>
      </c>
      <c r="R378" s="8" t="s">
        <v>126</v>
      </c>
      <c r="S378" s="8" t="s">
        <v>125</v>
      </c>
      <c r="T378" s="8" t="s">
        <v>128</v>
      </c>
      <c r="U378" s="14"/>
      <c r="V378" s="14" t="s">
        <v>125</v>
      </c>
      <c r="X378" s="8" t="s">
        <v>127</v>
      </c>
      <c r="Y378" s="8" t="s">
        <v>1289</v>
      </c>
      <c r="Z378" s="14">
        <v>45801</v>
      </c>
    </row>
    <row r="379" spans="1:26" ht="15" customHeight="1" x14ac:dyDescent="0.2">
      <c r="A379" s="8">
        <v>382</v>
      </c>
      <c r="B379" s="8">
        <v>8500</v>
      </c>
      <c r="C379" s="20">
        <v>45800</v>
      </c>
      <c r="D379" s="8" t="s">
        <v>168</v>
      </c>
      <c r="E379" s="8" t="s">
        <v>520</v>
      </c>
      <c r="F379" s="13" t="s">
        <v>311</v>
      </c>
      <c r="G379" s="13" t="s">
        <v>703</v>
      </c>
      <c r="H379" s="13" t="s">
        <v>266</v>
      </c>
      <c r="I379" s="8" t="s">
        <v>136</v>
      </c>
      <c r="J379" s="8" t="s">
        <v>1017</v>
      </c>
      <c r="K379" s="8" t="s">
        <v>1287</v>
      </c>
      <c r="L379" s="8" t="s">
        <v>42</v>
      </c>
      <c r="O379" s="21" t="s">
        <v>1293</v>
      </c>
      <c r="P379" s="13" t="s">
        <v>115</v>
      </c>
      <c r="Q379" s="8" t="s">
        <v>130</v>
      </c>
      <c r="R379" s="8" t="s">
        <v>219</v>
      </c>
      <c r="S379" s="8" t="s">
        <v>117</v>
      </c>
      <c r="T379" s="8" t="s">
        <v>1100</v>
      </c>
      <c r="U379" s="14">
        <v>45806</v>
      </c>
      <c r="V379" s="20">
        <v>45801</v>
      </c>
      <c r="X379" s="8" t="str">
        <f t="shared" ref="X379" si="112">G379&amp;AB$1&amp;O379</f>
        <v>DHRUV MITAL/FSD/Exceedance/B737/25-05/28</v>
      </c>
      <c r="Y379" s="13" t="s">
        <v>1290</v>
      </c>
      <c r="Z379" s="14">
        <v>45801</v>
      </c>
    </row>
    <row r="380" spans="1:26" ht="15" customHeight="1" x14ac:dyDescent="0.2">
      <c r="A380" s="8">
        <v>383</v>
      </c>
      <c r="B380" s="8" t="s">
        <v>125</v>
      </c>
      <c r="C380" s="14">
        <v>45800</v>
      </c>
      <c r="D380" s="8" t="s">
        <v>66</v>
      </c>
      <c r="E380" s="8" t="s">
        <v>1294</v>
      </c>
      <c r="F380" s="8" t="s">
        <v>1295</v>
      </c>
      <c r="G380" s="8" t="s">
        <v>134</v>
      </c>
      <c r="H380" s="8" t="s">
        <v>419</v>
      </c>
      <c r="I380" s="8" t="s">
        <v>27</v>
      </c>
      <c r="J380" s="8" t="s">
        <v>28</v>
      </c>
      <c r="K380" s="8" t="s">
        <v>1296</v>
      </c>
      <c r="L380" s="8" t="s">
        <v>26</v>
      </c>
      <c r="O380" s="21" t="s">
        <v>1297</v>
      </c>
      <c r="P380" s="13" t="s">
        <v>123</v>
      </c>
      <c r="Q380" s="8" t="s">
        <v>125</v>
      </c>
      <c r="R380" s="8" t="s">
        <v>126</v>
      </c>
      <c r="S380" s="8" t="s">
        <v>125</v>
      </c>
      <c r="T380" s="8" t="s">
        <v>128</v>
      </c>
      <c r="U380" s="14">
        <v>45803</v>
      </c>
      <c r="V380" s="20"/>
      <c r="X380" s="8" t="s">
        <v>127</v>
      </c>
      <c r="Y380" s="8" t="s">
        <v>1298</v>
      </c>
      <c r="Z380" s="14">
        <v>45802</v>
      </c>
    </row>
    <row r="381" spans="1:26" ht="15" customHeight="1" x14ac:dyDescent="0.2">
      <c r="A381" s="8">
        <v>384</v>
      </c>
      <c r="B381" s="8" t="s">
        <v>125</v>
      </c>
      <c r="C381" s="12">
        <v>45802</v>
      </c>
      <c r="D381" s="13" t="s">
        <v>249</v>
      </c>
      <c r="E381" s="13" t="s">
        <v>1299</v>
      </c>
      <c r="F381" s="13" t="s">
        <v>1300</v>
      </c>
      <c r="G381" s="13" t="s">
        <v>711</v>
      </c>
      <c r="H381" s="13" t="s">
        <v>104</v>
      </c>
      <c r="I381" s="13" t="s">
        <v>1311</v>
      </c>
      <c r="J381" s="13" t="s">
        <v>28</v>
      </c>
      <c r="K381" s="13" t="s">
        <v>1301</v>
      </c>
      <c r="L381" s="13" t="s">
        <v>26</v>
      </c>
      <c r="O381" s="21" t="s">
        <v>1302</v>
      </c>
      <c r="P381" s="8" t="s">
        <v>157</v>
      </c>
      <c r="Q381" s="8" t="s">
        <v>125</v>
      </c>
      <c r="R381" s="8" t="s">
        <v>126</v>
      </c>
      <c r="S381" s="8" t="s">
        <v>125</v>
      </c>
      <c r="T381" s="8" t="s">
        <v>117</v>
      </c>
      <c r="U381" s="20"/>
      <c r="V381" s="20"/>
      <c r="X381" s="8" t="s">
        <v>127</v>
      </c>
      <c r="Y381" s="8" t="s">
        <v>1303</v>
      </c>
      <c r="Z381" s="14">
        <v>45803</v>
      </c>
    </row>
    <row r="382" spans="1:26" ht="15" customHeight="1" x14ac:dyDescent="0.2">
      <c r="A382" s="8">
        <v>385</v>
      </c>
      <c r="B382" s="8" t="s">
        <v>125</v>
      </c>
      <c r="C382" s="12">
        <v>45802</v>
      </c>
      <c r="D382" s="13" t="s">
        <v>249</v>
      </c>
      <c r="E382" s="13" t="s">
        <v>1299</v>
      </c>
      <c r="F382" s="13" t="s">
        <v>1300</v>
      </c>
      <c r="G382" s="13" t="s">
        <v>711</v>
      </c>
      <c r="H382" s="13" t="s">
        <v>104</v>
      </c>
      <c r="I382" s="13" t="s">
        <v>1312</v>
      </c>
      <c r="J382" s="13" t="s">
        <v>28</v>
      </c>
      <c r="K382" s="13" t="s">
        <v>1304</v>
      </c>
      <c r="L382" s="13" t="s">
        <v>26</v>
      </c>
      <c r="O382" s="21" t="s">
        <v>1302</v>
      </c>
      <c r="P382" s="8" t="s">
        <v>157</v>
      </c>
      <c r="Q382" s="8" t="s">
        <v>125</v>
      </c>
      <c r="R382" s="8" t="s">
        <v>126</v>
      </c>
      <c r="S382" s="8" t="s">
        <v>125</v>
      </c>
      <c r="T382" s="8" t="s">
        <v>128</v>
      </c>
      <c r="U382" s="14"/>
      <c r="X382" s="8" t="s">
        <v>127</v>
      </c>
      <c r="Y382" s="8" t="s">
        <v>1305</v>
      </c>
      <c r="Z382" s="14">
        <v>45803</v>
      </c>
    </row>
    <row r="383" spans="1:26" ht="15" customHeight="1" x14ac:dyDescent="0.2">
      <c r="A383" s="8">
        <v>386</v>
      </c>
      <c r="B383" s="8" t="s">
        <v>125</v>
      </c>
      <c r="C383" s="14">
        <v>45802</v>
      </c>
      <c r="D383" s="8" t="s">
        <v>139</v>
      </c>
      <c r="E383" s="13" t="s">
        <v>1306</v>
      </c>
      <c r="F383" s="13" t="s">
        <v>111</v>
      </c>
      <c r="G383" s="13" t="s">
        <v>112</v>
      </c>
      <c r="H383" s="13" t="s">
        <v>348</v>
      </c>
      <c r="I383" s="8" t="s">
        <v>24</v>
      </c>
      <c r="J383" s="8">
        <v>1050</v>
      </c>
      <c r="K383" s="8">
        <v>1140</v>
      </c>
      <c r="L383" s="8" t="s">
        <v>25</v>
      </c>
      <c r="O383" s="8" t="s">
        <v>125</v>
      </c>
      <c r="P383" s="8" t="s">
        <v>123</v>
      </c>
      <c r="Q383" s="8" t="s">
        <v>125</v>
      </c>
      <c r="R383" s="8" t="s">
        <v>126</v>
      </c>
      <c r="S383" s="8" t="s">
        <v>125</v>
      </c>
      <c r="T383" s="8" t="s">
        <v>128</v>
      </c>
      <c r="U383" s="14">
        <v>45804</v>
      </c>
      <c r="V383" s="14" t="s">
        <v>125</v>
      </c>
      <c r="X383" s="8" t="s">
        <v>127</v>
      </c>
      <c r="Y383" s="13" t="s">
        <v>1307</v>
      </c>
      <c r="Z383" s="14">
        <v>45803</v>
      </c>
    </row>
    <row r="384" spans="1:26" ht="15" customHeight="1" x14ac:dyDescent="0.2">
      <c r="A384" s="8">
        <v>387</v>
      </c>
      <c r="B384" s="8">
        <v>8505</v>
      </c>
      <c r="C384" s="14">
        <v>45801</v>
      </c>
      <c r="D384" s="8" t="s">
        <v>30</v>
      </c>
      <c r="E384" s="13" t="s">
        <v>31</v>
      </c>
      <c r="F384" s="13" t="s">
        <v>32</v>
      </c>
      <c r="G384" s="13" t="s">
        <v>342</v>
      </c>
      <c r="H384" s="13" t="s">
        <v>1308</v>
      </c>
      <c r="I384" s="13" t="s">
        <v>1079</v>
      </c>
      <c r="J384" s="13">
        <v>40</v>
      </c>
      <c r="K384" s="13">
        <v>43</v>
      </c>
      <c r="L384" s="13" t="s">
        <v>42</v>
      </c>
      <c r="O384" s="21" t="s">
        <v>1309</v>
      </c>
      <c r="P384" s="8" t="s">
        <v>115</v>
      </c>
      <c r="Q384" s="8" t="s">
        <v>130</v>
      </c>
      <c r="R384" s="8" t="s">
        <v>219</v>
      </c>
      <c r="S384" s="8" t="s">
        <v>117</v>
      </c>
      <c r="T384" s="8" t="s">
        <v>1100</v>
      </c>
      <c r="U384" s="20">
        <v>45807</v>
      </c>
      <c r="V384" s="20">
        <v>45803</v>
      </c>
      <c r="X384" s="8" t="str">
        <f t="shared" ref="X384:X394" si="113">G384&amp;AB$1&amp;O384</f>
        <v>TANMAY GANESH KELUSKAR/FSD/Exceedance/B737/25-05/31</v>
      </c>
      <c r="Y384" s="13" t="s">
        <v>1310</v>
      </c>
      <c r="Z384" s="14">
        <v>45803</v>
      </c>
    </row>
    <row r="385" spans="1:28" ht="15" customHeight="1" x14ac:dyDescent="0.2">
      <c r="A385" s="8">
        <v>388</v>
      </c>
      <c r="B385" s="8" t="s">
        <v>125</v>
      </c>
      <c r="C385" s="14">
        <v>45803</v>
      </c>
      <c r="D385" s="8" t="s">
        <v>144</v>
      </c>
      <c r="E385" s="8" t="s">
        <v>1039</v>
      </c>
      <c r="F385" s="8" t="s">
        <v>1040</v>
      </c>
      <c r="G385" s="8" t="s">
        <v>122</v>
      </c>
      <c r="H385" s="8" t="s">
        <v>269</v>
      </c>
      <c r="I385" s="8" t="s">
        <v>27</v>
      </c>
      <c r="J385" s="8" t="s">
        <v>28</v>
      </c>
      <c r="K385" s="8" t="s">
        <v>1313</v>
      </c>
      <c r="L385" s="4" t="s">
        <v>26</v>
      </c>
      <c r="O385" s="21" t="s">
        <v>1314</v>
      </c>
      <c r="P385" s="8" t="s">
        <v>157</v>
      </c>
      <c r="Q385" s="8" t="s">
        <v>125</v>
      </c>
      <c r="R385" s="8" t="s">
        <v>126</v>
      </c>
      <c r="S385" s="8" t="s">
        <v>125</v>
      </c>
      <c r="T385" s="8" t="s">
        <v>128</v>
      </c>
      <c r="U385" s="14">
        <v>45805</v>
      </c>
      <c r="V385" s="14" t="s">
        <v>125</v>
      </c>
      <c r="X385" s="8" t="s">
        <v>127</v>
      </c>
      <c r="Y385" s="29" t="s">
        <v>1316</v>
      </c>
      <c r="Z385" s="14">
        <v>45804</v>
      </c>
    </row>
    <row r="386" spans="1:28" ht="15" customHeight="1" x14ac:dyDescent="0.2">
      <c r="A386" s="8">
        <v>389</v>
      </c>
      <c r="B386" s="8">
        <v>8509</v>
      </c>
      <c r="C386" s="14">
        <v>45802</v>
      </c>
      <c r="D386" s="8" t="s">
        <v>144</v>
      </c>
      <c r="E386" s="8" t="s">
        <v>187</v>
      </c>
      <c r="F386" s="8" t="s">
        <v>188</v>
      </c>
      <c r="G386" s="8" t="s">
        <v>361</v>
      </c>
      <c r="H386" s="8" t="s">
        <v>497</v>
      </c>
      <c r="I386" s="8" t="s">
        <v>180</v>
      </c>
      <c r="J386" s="8">
        <v>8</v>
      </c>
      <c r="K386" s="8">
        <v>8.3000000000000007</v>
      </c>
      <c r="L386" s="4" t="s">
        <v>36</v>
      </c>
      <c r="O386" s="21" t="s">
        <v>1315</v>
      </c>
      <c r="P386" s="8" t="s">
        <v>115</v>
      </c>
      <c r="Q386" s="8" t="s">
        <v>130</v>
      </c>
      <c r="R386" s="8" t="s">
        <v>219</v>
      </c>
      <c r="S386" s="8" t="s">
        <v>117</v>
      </c>
      <c r="T386" s="8" t="s">
        <v>1100</v>
      </c>
      <c r="U386" s="20">
        <v>45806</v>
      </c>
      <c r="V386" s="14">
        <v>45804</v>
      </c>
      <c r="X386" s="8" t="str">
        <f>G386&amp;AB$1&amp;O386</f>
        <v>SNEHA SHEKHAWAT/FSD/Exceedance/B737/25-05/33</v>
      </c>
      <c r="Y386" s="13" t="s">
        <v>1317</v>
      </c>
      <c r="Z386" s="14">
        <v>45804</v>
      </c>
    </row>
    <row r="387" spans="1:28" ht="15" customHeight="1" x14ac:dyDescent="0.2">
      <c r="A387" s="8">
        <v>390</v>
      </c>
      <c r="B387" s="8" t="s">
        <v>125</v>
      </c>
      <c r="C387" s="14">
        <v>45803</v>
      </c>
      <c r="D387" s="8" t="s">
        <v>144</v>
      </c>
      <c r="E387" s="8" t="s">
        <v>1039</v>
      </c>
      <c r="F387" s="8" t="s">
        <v>1040</v>
      </c>
      <c r="G387" s="8" t="s">
        <v>122</v>
      </c>
      <c r="H387" s="8" t="s">
        <v>269</v>
      </c>
      <c r="I387" s="8" t="s">
        <v>57</v>
      </c>
      <c r="J387" s="8">
        <v>30</v>
      </c>
      <c r="K387" s="8">
        <v>31.5</v>
      </c>
      <c r="L387" s="8" t="s">
        <v>36</v>
      </c>
      <c r="O387" s="8" t="s">
        <v>125</v>
      </c>
      <c r="P387" s="8" t="s">
        <v>123</v>
      </c>
      <c r="Q387" s="8" t="s">
        <v>125</v>
      </c>
      <c r="R387" s="8" t="s">
        <v>126</v>
      </c>
      <c r="S387" s="8" t="s">
        <v>125</v>
      </c>
      <c r="T387" s="8" t="s">
        <v>128</v>
      </c>
      <c r="U387" s="20"/>
      <c r="V387" s="14" t="s">
        <v>125</v>
      </c>
      <c r="X387" s="8" t="s">
        <v>127</v>
      </c>
      <c r="Y387" s="13" t="s">
        <v>1318</v>
      </c>
      <c r="Z387" s="14">
        <v>45804</v>
      </c>
    </row>
    <row r="388" spans="1:28" ht="15" customHeight="1" x14ac:dyDescent="0.2">
      <c r="A388" s="8">
        <v>391</v>
      </c>
      <c r="B388" s="8">
        <v>8513</v>
      </c>
      <c r="C388" s="14">
        <v>45803</v>
      </c>
      <c r="D388" s="8" t="s">
        <v>256</v>
      </c>
      <c r="E388" s="8" t="s">
        <v>1219</v>
      </c>
      <c r="F388" s="8" t="s">
        <v>1220</v>
      </c>
      <c r="G388" s="8" t="s">
        <v>1319</v>
      </c>
      <c r="H388" s="8" t="s">
        <v>189</v>
      </c>
      <c r="I388" s="8" t="s">
        <v>1320</v>
      </c>
      <c r="J388" s="8" t="s">
        <v>1321</v>
      </c>
      <c r="K388" s="8" t="s">
        <v>1322</v>
      </c>
      <c r="L388" s="4" t="s">
        <v>42</v>
      </c>
      <c r="O388" s="21" t="s">
        <v>1327</v>
      </c>
      <c r="P388" s="8" t="s">
        <v>115</v>
      </c>
      <c r="Q388" s="8" t="s">
        <v>130</v>
      </c>
      <c r="R388" s="8" t="s">
        <v>117</v>
      </c>
      <c r="S388" s="8" t="s">
        <v>117</v>
      </c>
      <c r="T388" s="8" t="s">
        <v>117</v>
      </c>
      <c r="U388" s="20"/>
      <c r="V388" s="14">
        <v>45805</v>
      </c>
      <c r="X388" s="8" t="str">
        <f t="shared" si="113"/>
        <v>RUPALI PIMPLE/FSD/Exceedance/B737/25-05/34</v>
      </c>
      <c r="Y388" s="13" t="s">
        <v>1324</v>
      </c>
      <c r="Z388" s="14">
        <v>45805</v>
      </c>
    </row>
    <row r="389" spans="1:28" ht="15" customHeight="1" x14ac:dyDescent="0.2">
      <c r="A389" s="8">
        <v>392</v>
      </c>
      <c r="B389" s="8" t="s">
        <v>125</v>
      </c>
      <c r="C389" s="14">
        <v>45803</v>
      </c>
      <c r="D389" s="8" t="s">
        <v>139</v>
      </c>
      <c r="E389" s="8" t="s">
        <v>102</v>
      </c>
      <c r="F389" s="8" t="s">
        <v>103</v>
      </c>
      <c r="G389" s="8" t="s">
        <v>485</v>
      </c>
      <c r="H389" s="8" t="s">
        <v>74</v>
      </c>
      <c r="I389" s="8" t="s">
        <v>27</v>
      </c>
      <c r="J389" s="8" t="s">
        <v>294</v>
      </c>
      <c r="K389" s="8">
        <v>2162</v>
      </c>
      <c r="L389" s="4" t="s">
        <v>26</v>
      </c>
      <c r="O389" s="21" t="s">
        <v>1328</v>
      </c>
      <c r="P389" s="13" t="s">
        <v>123</v>
      </c>
      <c r="Q389" s="8" t="s">
        <v>125</v>
      </c>
      <c r="R389" s="8" t="s">
        <v>126</v>
      </c>
      <c r="S389" s="8" t="s">
        <v>125</v>
      </c>
      <c r="T389" s="8" t="s">
        <v>128</v>
      </c>
      <c r="U389" s="20"/>
      <c r="V389" s="20"/>
      <c r="X389" s="8" t="s">
        <v>127</v>
      </c>
      <c r="Y389" s="8" t="s">
        <v>1325</v>
      </c>
      <c r="Z389" s="14">
        <v>45805</v>
      </c>
    </row>
    <row r="390" spans="1:28" ht="15" customHeight="1" x14ac:dyDescent="0.2">
      <c r="A390" s="8">
        <v>393</v>
      </c>
      <c r="B390" s="8">
        <v>8516</v>
      </c>
      <c r="C390" s="14">
        <v>45804</v>
      </c>
      <c r="D390" s="8" t="s">
        <v>48</v>
      </c>
      <c r="E390" s="8" t="s">
        <v>434</v>
      </c>
      <c r="F390" s="8" t="s">
        <v>487</v>
      </c>
      <c r="G390" s="8" t="s">
        <v>231</v>
      </c>
      <c r="H390" s="8" t="s">
        <v>1239</v>
      </c>
      <c r="I390" s="8" t="s">
        <v>1323</v>
      </c>
      <c r="J390" s="8">
        <v>800</v>
      </c>
      <c r="K390" s="8">
        <v>650</v>
      </c>
      <c r="L390" s="4" t="s">
        <v>26</v>
      </c>
      <c r="O390" s="21" t="s">
        <v>1329</v>
      </c>
      <c r="P390" s="8" t="s">
        <v>203</v>
      </c>
      <c r="Q390" s="8" t="s">
        <v>126</v>
      </c>
      <c r="R390" s="8" t="s">
        <v>1262</v>
      </c>
      <c r="S390" s="8" t="s">
        <v>117</v>
      </c>
      <c r="T390" s="8" t="s">
        <v>117</v>
      </c>
      <c r="U390" s="20">
        <v>45817</v>
      </c>
      <c r="V390" s="20">
        <v>45805</v>
      </c>
      <c r="X390" s="8" t="str">
        <f t="shared" si="113"/>
        <v>ISHAN SHARMA./FSD/Exceedance/B737/25-05/36</v>
      </c>
      <c r="Y390" s="8" t="s">
        <v>1326</v>
      </c>
      <c r="Z390" s="14">
        <v>45805</v>
      </c>
    </row>
    <row r="391" spans="1:28" ht="15" customHeight="1" x14ac:dyDescent="0.2">
      <c r="A391" s="8">
        <v>394</v>
      </c>
      <c r="B391" s="8">
        <v>8517</v>
      </c>
      <c r="C391" s="12">
        <v>45803</v>
      </c>
      <c r="D391" s="13" t="s">
        <v>66</v>
      </c>
      <c r="E391" s="13" t="s">
        <v>1155</v>
      </c>
      <c r="F391" s="13" t="s">
        <v>1156</v>
      </c>
      <c r="G391" s="13" t="s">
        <v>1336</v>
      </c>
      <c r="H391" s="13" t="s">
        <v>1330</v>
      </c>
      <c r="I391" s="8" t="s">
        <v>778</v>
      </c>
      <c r="J391" s="8">
        <v>950</v>
      </c>
      <c r="K391" s="8">
        <v>964</v>
      </c>
      <c r="L391" s="8" t="s">
        <v>716</v>
      </c>
      <c r="O391" s="21" t="s">
        <v>1332</v>
      </c>
      <c r="P391" s="8" t="s">
        <v>115</v>
      </c>
      <c r="Q391" s="8" t="s">
        <v>130</v>
      </c>
      <c r="R391" s="8" t="s">
        <v>219</v>
      </c>
      <c r="S391" s="8" t="s">
        <v>129</v>
      </c>
      <c r="T391" s="8" t="s">
        <v>1100</v>
      </c>
      <c r="U391" s="14">
        <v>45807</v>
      </c>
      <c r="V391" s="14">
        <v>45805</v>
      </c>
      <c r="X391" s="8" t="str">
        <f t="shared" si="113"/>
        <v>ASHISH MAHESHKUMAR MAYANI/FSD/Exceedance/B737/25-05/37</v>
      </c>
      <c r="Y391" s="13" t="s">
        <v>1333</v>
      </c>
      <c r="Z391" s="14">
        <v>45805</v>
      </c>
    </row>
    <row r="392" spans="1:28" ht="15" customHeight="1" x14ac:dyDescent="0.2">
      <c r="A392" s="8">
        <v>395</v>
      </c>
      <c r="B392" s="8" t="s">
        <v>125</v>
      </c>
      <c r="C392" s="12">
        <v>45803</v>
      </c>
      <c r="D392" s="13" t="s">
        <v>66</v>
      </c>
      <c r="E392" s="13" t="s">
        <v>1155</v>
      </c>
      <c r="F392" s="13" t="s">
        <v>1156</v>
      </c>
      <c r="G392" s="13" t="s">
        <v>1336</v>
      </c>
      <c r="H392" s="13" t="s">
        <v>1330</v>
      </c>
      <c r="I392" s="8" t="s">
        <v>1331</v>
      </c>
      <c r="J392" s="58"/>
      <c r="K392" s="58"/>
      <c r="L392" s="58"/>
      <c r="O392" s="8" t="s">
        <v>125</v>
      </c>
      <c r="P392" s="13" t="s">
        <v>123</v>
      </c>
      <c r="Q392" s="8" t="s">
        <v>125</v>
      </c>
      <c r="R392" s="8" t="s">
        <v>126</v>
      </c>
      <c r="S392" s="8" t="s">
        <v>125</v>
      </c>
      <c r="T392" s="8" t="s">
        <v>128</v>
      </c>
      <c r="U392" s="20"/>
      <c r="V392" s="14" t="s">
        <v>125</v>
      </c>
      <c r="X392" s="8" t="s">
        <v>127</v>
      </c>
      <c r="Y392" s="13" t="s">
        <v>1334</v>
      </c>
      <c r="Z392" s="14">
        <v>45805</v>
      </c>
    </row>
    <row r="393" spans="1:28" ht="15" customHeight="1" x14ac:dyDescent="0.2">
      <c r="A393" s="8">
        <v>396</v>
      </c>
      <c r="B393" s="8">
        <v>8520</v>
      </c>
      <c r="C393" s="14">
        <v>45805</v>
      </c>
      <c r="D393" s="8" t="s">
        <v>144</v>
      </c>
      <c r="E393" s="8" t="s">
        <v>1337</v>
      </c>
      <c r="F393" s="8" t="s">
        <v>1338</v>
      </c>
      <c r="G393" s="8" t="s">
        <v>511</v>
      </c>
      <c r="H393" s="8" t="s">
        <v>664</v>
      </c>
      <c r="I393" s="8" t="s">
        <v>180</v>
      </c>
      <c r="J393" s="8">
        <v>8</v>
      </c>
      <c r="K393" s="8">
        <v>8.4</v>
      </c>
      <c r="L393" s="8" t="s">
        <v>271</v>
      </c>
      <c r="O393" s="21" t="s">
        <v>1340</v>
      </c>
      <c r="P393" s="8" t="s">
        <v>115</v>
      </c>
      <c r="Q393" s="8" t="s">
        <v>130</v>
      </c>
      <c r="R393" s="8" t="s">
        <v>219</v>
      </c>
      <c r="S393" s="8" t="s">
        <v>117</v>
      </c>
      <c r="T393" s="8" t="s">
        <v>117</v>
      </c>
      <c r="U393" s="20">
        <v>45817</v>
      </c>
      <c r="V393" s="14">
        <v>45806</v>
      </c>
      <c r="X393" s="8" t="str">
        <f t="shared" si="113"/>
        <v>MANABENDRA DEKA/FSD/Exceedance/B737/25-05/38</v>
      </c>
      <c r="Y393" s="13" t="s">
        <v>1339</v>
      </c>
      <c r="Z393" s="14">
        <v>45806</v>
      </c>
    </row>
    <row r="394" spans="1:28" ht="15" customHeight="1" x14ac:dyDescent="0.2">
      <c r="A394" s="8">
        <v>397</v>
      </c>
      <c r="B394" s="8">
        <v>8523</v>
      </c>
      <c r="C394" s="14">
        <v>45806</v>
      </c>
      <c r="D394" s="8" t="s">
        <v>37</v>
      </c>
      <c r="E394" s="8" t="s">
        <v>150</v>
      </c>
      <c r="F394" s="8" t="s">
        <v>165</v>
      </c>
      <c r="G394" s="8" t="s">
        <v>312</v>
      </c>
      <c r="H394" s="8" t="s">
        <v>476</v>
      </c>
      <c r="I394" s="8" t="s">
        <v>289</v>
      </c>
      <c r="J394" s="8">
        <v>0.3</v>
      </c>
      <c r="K394" s="8">
        <v>0.2</v>
      </c>
      <c r="L394" s="8" t="s">
        <v>36</v>
      </c>
      <c r="O394" s="21" t="s">
        <v>1341</v>
      </c>
      <c r="P394" s="8" t="s">
        <v>115</v>
      </c>
      <c r="Q394" s="8" t="s">
        <v>130</v>
      </c>
      <c r="R394" s="8" t="s">
        <v>219</v>
      </c>
      <c r="S394" s="8" t="s">
        <v>117</v>
      </c>
      <c r="T394" s="8" t="s">
        <v>117</v>
      </c>
      <c r="U394" s="20">
        <v>45814</v>
      </c>
      <c r="V394" s="14">
        <v>45807</v>
      </c>
      <c r="X394" s="8" t="str">
        <f t="shared" si="113"/>
        <v>ASHISH JAYASWAL/FSD/Exceedance/B737/25-05/39</v>
      </c>
      <c r="Y394" s="13" t="s">
        <v>1342</v>
      </c>
      <c r="Z394" s="14">
        <v>45807</v>
      </c>
    </row>
    <row r="395" spans="1:28" ht="15" customHeight="1" x14ac:dyDescent="0.2">
      <c r="A395" s="8">
        <v>398</v>
      </c>
      <c r="B395" s="8" t="s">
        <v>125</v>
      </c>
      <c r="C395" s="14">
        <v>45806</v>
      </c>
      <c r="D395" s="13" t="s">
        <v>191</v>
      </c>
      <c r="E395" s="13" t="s">
        <v>1343</v>
      </c>
      <c r="F395" s="13" t="s">
        <v>331</v>
      </c>
      <c r="G395" s="13" t="s">
        <v>134</v>
      </c>
      <c r="H395" s="13" t="s">
        <v>200</v>
      </c>
      <c r="I395" s="8" t="s">
        <v>1055</v>
      </c>
      <c r="J395" s="8">
        <v>230</v>
      </c>
      <c r="K395" s="8">
        <v>230.5</v>
      </c>
      <c r="L395" s="8" t="s">
        <v>42</v>
      </c>
      <c r="O395" s="8" t="s">
        <v>125</v>
      </c>
      <c r="P395" s="13" t="s">
        <v>123</v>
      </c>
      <c r="Q395" s="8" t="s">
        <v>125</v>
      </c>
      <c r="R395" s="8" t="s">
        <v>126</v>
      </c>
      <c r="S395" s="8" t="s">
        <v>125</v>
      </c>
      <c r="T395" s="8" t="s">
        <v>128</v>
      </c>
      <c r="U395" s="14">
        <v>45808</v>
      </c>
      <c r="V395" s="20"/>
      <c r="X395" s="8" t="s">
        <v>127</v>
      </c>
      <c r="Y395" s="13" t="s">
        <v>1344</v>
      </c>
      <c r="Z395" s="14">
        <v>45807</v>
      </c>
    </row>
    <row r="396" spans="1:28" ht="15" customHeight="1" x14ac:dyDescent="0.2">
      <c r="A396" s="8">
        <v>399</v>
      </c>
      <c r="B396" s="8" t="s">
        <v>125</v>
      </c>
      <c r="C396" s="14">
        <v>45807</v>
      </c>
      <c r="D396" s="8" t="s">
        <v>191</v>
      </c>
      <c r="E396" s="8" t="s">
        <v>330</v>
      </c>
      <c r="F396" s="8" t="s">
        <v>95</v>
      </c>
      <c r="G396" s="8" t="s">
        <v>650</v>
      </c>
      <c r="H396" s="8" t="s">
        <v>651</v>
      </c>
      <c r="I396" s="8" t="s">
        <v>391</v>
      </c>
      <c r="J396" s="8" t="s">
        <v>392</v>
      </c>
      <c r="K396" s="8" t="s">
        <v>1345</v>
      </c>
      <c r="L396" s="4" t="s">
        <v>42</v>
      </c>
      <c r="O396" s="8" t="s">
        <v>125</v>
      </c>
      <c r="P396" s="8" t="s">
        <v>123</v>
      </c>
      <c r="Q396" s="8" t="s">
        <v>125</v>
      </c>
      <c r="R396" s="8" t="s">
        <v>126</v>
      </c>
      <c r="S396" s="8" t="s">
        <v>125</v>
      </c>
      <c r="T396" s="8" t="s">
        <v>128</v>
      </c>
      <c r="U396" s="14"/>
      <c r="X396" s="8" t="s">
        <v>127</v>
      </c>
      <c r="Y396" s="13" t="s">
        <v>1346</v>
      </c>
      <c r="Z396" s="14">
        <v>45808</v>
      </c>
    </row>
    <row r="397" spans="1:28" ht="15" customHeight="1" x14ac:dyDescent="0.2">
      <c r="A397" s="8">
        <v>400</v>
      </c>
      <c r="B397" s="8" t="s">
        <v>125</v>
      </c>
      <c r="C397" s="14">
        <v>45806</v>
      </c>
      <c r="D397" s="8" t="s">
        <v>54</v>
      </c>
      <c r="E397" s="8" t="s">
        <v>894</v>
      </c>
      <c r="F397" s="8" t="s">
        <v>592</v>
      </c>
      <c r="G397" s="13" t="s">
        <v>222</v>
      </c>
      <c r="H397" s="13" t="s">
        <v>1174</v>
      </c>
      <c r="I397" s="8" t="s">
        <v>27</v>
      </c>
      <c r="J397" s="8" t="s">
        <v>294</v>
      </c>
      <c r="K397" s="8">
        <v>889</v>
      </c>
      <c r="L397" s="4" t="s">
        <v>26</v>
      </c>
      <c r="O397" s="21" t="s">
        <v>1348</v>
      </c>
      <c r="P397" s="8" t="s">
        <v>157</v>
      </c>
      <c r="Q397" s="8" t="s">
        <v>125</v>
      </c>
      <c r="R397" s="8" t="s">
        <v>126</v>
      </c>
      <c r="S397" s="8" t="s">
        <v>125</v>
      </c>
      <c r="T397" s="8" t="s">
        <v>128</v>
      </c>
      <c r="U397" s="14"/>
      <c r="X397" s="8" t="s">
        <v>127</v>
      </c>
      <c r="Y397" s="8" t="s">
        <v>1347</v>
      </c>
      <c r="Z397" s="14">
        <v>45808</v>
      </c>
    </row>
    <row r="398" spans="1:28" ht="15" customHeight="1" x14ac:dyDescent="0.2">
      <c r="A398" s="8">
        <v>401</v>
      </c>
      <c r="B398" s="8" t="s">
        <v>125</v>
      </c>
      <c r="C398" s="14">
        <v>45806</v>
      </c>
      <c r="D398" s="8" t="s">
        <v>54</v>
      </c>
      <c r="E398" s="8" t="s">
        <v>894</v>
      </c>
      <c r="F398" s="8" t="s">
        <v>592</v>
      </c>
      <c r="G398" s="8" t="s">
        <v>222</v>
      </c>
      <c r="H398" s="8" t="s">
        <v>1174</v>
      </c>
      <c r="I398" s="8" t="s">
        <v>391</v>
      </c>
      <c r="J398" s="8" t="s">
        <v>392</v>
      </c>
      <c r="K398" s="8" t="s">
        <v>1349</v>
      </c>
      <c r="L398" s="8" t="s">
        <v>42</v>
      </c>
      <c r="O398" s="8" t="s">
        <v>125</v>
      </c>
      <c r="P398" s="8" t="s">
        <v>123</v>
      </c>
      <c r="Q398" s="8" t="s">
        <v>125</v>
      </c>
      <c r="R398" s="8" t="s">
        <v>126</v>
      </c>
      <c r="S398" s="8" t="s">
        <v>125</v>
      </c>
      <c r="T398" s="8" t="s">
        <v>128</v>
      </c>
      <c r="U398" s="20"/>
      <c r="V398" s="14">
        <v>45809</v>
      </c>
      <c r="X398" s="8" t="str">
        <f t="shared" ref="X398:X401" si="114">G398&amp;AB$1&amp;O398</f>
        <v>RASHMI SHARMA/FSD/Exceedance/NA</v>
      </c>
      <c r="Y398" s="13" t="s">
        <v>1352</v>
      </c>
      <c r="Z398" s="14">
        <v>45809</v>
      </c>
    </row>
    <row r="399" spans="1:28" ht="15" customHeight="1" x14ac:dyDescent="0.2">
      <c r="A399" s="8">
        <v>403</v>
      </c>
      <c r="B399" s="8">
        <v>8527</v>
      </c>
      <c r="C399" s="14">
        <v>45807</v>
      </c>
      <c r="D399" s="8" t="s">
        <v>256</v>
      </c>
      <c r="E399" s="8" t="s">
        <v>1241</v>
      </c>
      <c r="F399" s="8" t="s">
        <v>1242</v>
      </c>
      <c r="G399" s="8" t="s">
        <v>593</v>
      </c>
      <c r="H399" s="8" t="s">
        <v>1330</v>
      </c>
      <c r="I399" s="8" t="s">
        <v>529</v>
      </c>
      <c r="J399" s="8" t="s">
        <v>69</v>
      </c>
      <c r="K399" s="8" t="s">
        <v>1350</v>
      </c>
      <c r="L399" s="8" t="s">
        <v>42</v>
      </c>
      <c r="O399" s="21" t="s">
        <v>1356</v>
      </c>
      <c r="P399" s="8" t="s">
        <v>115</v>
      </c>
      <c r="Q399" s="8" t="s">
        <v>130</v>
      </c>
      <c r="R399" s="8" t="s">
        <v>117</v>
      </c>
      <c r="S399" s="8" t="s">
        <v>117</v>
      </c>
      <c r="T399" s="8" t="s">
        <v>117</v>
      </c>
      <c r="U399" s="14"/>
      <c r="V399" s="14">
        <v>45809</v>
      </c>
      <c r="X399" s="8" t="str">
        <f t="shared" si="114"/>
        <v>CHARAN SINGH CHOUDHARY/FSD/Exceedance/B737/25-05/41</v>
      </c>
      <c r="Y399" s="13" t="s">
        <v>1353</v>
      </c>
      <c r="Z399" s="14">
        <v>45809</v>
      </c>
      <c r="AA399" s="10"/>
      <c r="AB399" s="10"/>
    </row>
    <row r="400" spans="1:28" ht="15" customHeight="1" x14ac:dyDescent="0.2">
      <c r="A400" s="8">
        <v>404</v>
      </c>
      <c r="B400" s="8">
        <v>8527</v>
      </c>
      <c r="C400" s="14">
        <v>45807</v>
      </c>
      <c r="D400" s="8" t="s">
        <v>256</v>
      </c>
      <c r="E400" s="8" t="s">
        <v>1241</v>
      </c>
      <c r="F400" s="8" t="s">
        <v>1242</v>
      </c>
      <c r="G400" s="8" t="s">
        <v>593</v>
      </c>
      <c r="H400" s="8" t="s">
        <v>1330</v>
      </c>
      <c r="I400" s="8" t="s">
        <v>136</v>
      </c>
      <c r="J400" s="8" t="s">
        <v>532</v>
      </c>
      <c r="K400" s="8" t="s">
        <v>1351</v>
      </c>
      <c r="L400" s="8" t="s">
        <v>42</v>
      </c>
      <c r="O400" s="21" t="s">
        <v>1356</v>
      </c>
      <c r="P400" s="8" t="s">
        <v>115</v>
      </c>
      <c r="Q400" s="8" t="s">
        <v>130</v>
      </c>
      <c r="R400" s="8" t="s">
        <v>117</v>
      </c>
      <c r="S400" s="8" t="s">
        <v>117</v>
      </c>
      <c r="T400" s="8" t="s">
        <v>117</v>
      </c>
      <c r="U400" s="20"/>
      <c r="V400" s="14">
        <v>45809</v>
      </c>
      <c r="X400" s="8" t="str">
        <f t="shared" si="114"/>
        <v>CHARAN SINGH CHOUDHARY/FSD/Exceedance/B737/25-05/41</v>
      </c>
      <c r="Y400" s="13" t="s">
        <v>1354</v>
      </c>
      <c r="Z400" s="14">
        <v>45809</v>
      </c>
      <c r="AA400" s="10"/>
      <c r="AB400" s="10"/>
    </row>
    <row r="401" spans="1:28" ht="15" customHeight="1" x14ac:dyDescent="0.2">
      <c r="A401" s="8">
        <v>405</v>
      </c>
      <c r="B401" s="8">
        <v>8528</v>
      </c>
      <c r="C401" s="14">
        <v>45807</v>
      </c>
      <c r="D401" s="8" t="s">
        <v>168</v>
      </c>
      <c r="E401" s="8" t="s">
        <v>1204</v>
      </c>
      <c r="F401" s="8" t="s">
        <v>35</v>
      </c>
      <c r="G401" s="8" t="s">
        <v>432</v>
      </c>
      <c r="H401" s="8" t="s">
        <v>386</v>
      </c>
      <c r="I401" s="8" t="s">
        <v>39</v>
      </c>
      <c r="J401" s="8">
        <v>1</v>
      </c>
      <c r="K401" s="8">
        <v>1.1200000000000001</v>
      </c>
      <c r="L401" s="8" t="s">
        <v>34</v>
      </c>
      <c r="O401" s="21" t="s">
        <v>1357</v>
      </c>
      <c r="P401" s="8" t="s">
        <v>115</v>
      </c>
      <c r="Q401" s="8" t="s">
        <v>130</v>
      </c>
      <c r="R401" s="8" t="s">
        <v>219</v>
      </c>
      <c r="S401" s="8" t="s">
        <v>117</v>
      </c>
      <c r="T401" s="8" t="s">
        <v>117</v>
      </c>
      <c r="U401" s="14">
        <v>45817</v>
      </c>
      <c r="V401" s="14">
        <v>45809</v>
      </c>
      <c r="X401" s="8" t="str">
        <f t="shared" si="114"/>
        <v>SHAKTI SATYAKUMAR KAUSHAL/FSD/Exceedance/B737/25-05/42</v>
      </c>
      <c r="Y401" s="13" t="s">
        <v>1355</v>
      </c>
      <c r="Z401" s="14">
        <v>45809</v>
      </c>
      <c r="AA401" s="10"/>
      <c r="AB401" s="10"/>
    </row>
    <row r="402" spans="1:28" ht="15" customHeight="1" x14ac:dyDescent="0.2">
      <c r="A402" s="8">
        <v>406</v>
      </c>
      <c r="B402" s="8" t="s">
        <v>125</v>
      </c>
      <c r="C402" s="20">
        <v>45807</v>
      </c>
      <c r="D402" s="8" t="s">
        <v>37</v>
      </c>
      <c r="E402" s="8" t="s">
        <v>1358</v>
      </c>
      <c r="F402" s="8" t="s">
        <v>56</v>
      </c>
      <c r="G402" s="8" t="s">
        <v>485</v>
      </c>
      <c r="H402" s="8" t="s">
        <v>1221</v>
      </c>
      <c r="I402" s="8" t="s">
        <v>58</v>
      </c>
      <c r="J402" s="8">
        <v>1200</v>
      </c>
      <c r="K402" s="8">
        <v>1123</v>
      </c>
      <c r="L402" s="8" t="s">
        <v>26</v>
      </c>
      <c r="O402" s="8" t="s">
        <v>125</v>
      </c>
      <c r="P402" s="8" t="s">
        <v>123</v>
      </c>
      <c r="Q402" s="8" t="s">
        <v>125</v>
      </c>
      <c r="R402" s="8" t="s">
        <v>126</v>
      </c>
      <c r="S402" s="8" t="s">
        <v>125</v>
      </c>
      <c r="T402" s="8" t="s">
        <v>128</v>
      </c>
      <c r="U402" s="14">
        <v>45811</v>
      </c>
      <c r="X402" s="8" t="s">
        <v>127</v>
      </c>
      <c r="Y402" s="48" t="s">
        <v>1359</v>
      </c>
      <c r="Z402" s="14">
        <v>45810</v>
      </c>
    </row>
    <row r="403" spans="1:28" ht="15" customHeight="1" x14ac:dyDescent="0.2">
      <c r="A403" s="8">
        <v>407</v>
      </c>
      <c r="B403" s="8" t="s">
        <v>125</v>
      </c>
      <c r="C403" s="20">
        <v>45807</v>
      </c>
      <c r="D403" s="8" t="s">
        <v>37</v>
      </c>
      <c r="E403" s="8" t="s">
        <v>1358</v>
      </c>
      <c r="F403" s="8" t="s">
        <v>56</v>
      </c>
      <c r="G403" s="8" t="s">
        <v>485</v>
      </c>
      <c r="H403" s="8" t="s">
        <v>1221</v>
      </c>
      <c r="I403" s="8" t="s">
        <v>89</v>
      </c>
      <c r="J403" s="8" t="s">
        <v>530</v>
      </c>
      <c r="K403" s="8" t="s">
        <v>1360</v>
      </c>
      <c r="L403" s="8" t="s">
        <v>42</v>
      </c>
      <c r="O403" s="8" t="s">
        <v>125</v>
      </c>
      <c r="P403" s="8" t="s">
        <v>123</v>
      </c>
      <c r="Q403" s="8" t="s">
        <v>125</v>
      </c>
      <c r="R403" s="8" t="s">
        <v>126</v>
      </c>
      <c r="S403" s="8" t="s">
        <v>125</v>
      </c>
      <c r="T403" s="8" t="s">
        <v>128</v>
      </c>
      <c r="U403" s="14">
        <v>45812</v>
      </c>
      <c r="X403" s="8" t="s">
        <v>127</v>
      </c>
      <c r="Y403" s="26" t="s">
        <v>1361</v>
      </c>
      <c r="Z403" s="14">
        <v>45811</v>
      </c>
    </row>
    <row r="404" spans="1:28" ht="15" customHeight="1" x14ac:dyDescent="0.2">
      <c r="A404" s="8">
        <v>408</v>
      </c>
      <c r="B404" s="8" t="s">
        <v>125</v>
      </c>
      <c r="C404" s="20">
        <v>45808</v>
      </c>
      <c r="D404" s="8" t="s">
        <v>256</v>
      </c>
      <c r="E404" s="8" t="s">
        <v>1362</v>
      </c>
      <c r="F404" s="8" t="s">
        <v>56</v>
      </c>
      <c r="G404" s="8" t="s">
        <v>764</v>
      </c>
      <c r="H404" s="8" t="s">
        <v>1363</v>
      </c>
      <c r="I404" s="8" t="s">
        <v>24</v>
      </c>
      <c r="J404" s="8">
        <v>1050</v>
      </c>
      <c r="K404" s="8">
        <v>1125</v>
      </c>
      <c r="L404" s="8" t="s">
        <v>25</v>
      </c>
      <c r="O404" s="8" t="s">
        <v>125</v>
      </c>
      <c r="P404" s="8" t="s">
        <v>123</v>
      </c>
      <c r="Q404" s="8" t="s">
        <v>125</v>
      </c>
      <c r="R404" s="8" t="s">
        <v>126</v>
      </c>
      <c r="S404" s="8" t="s">
        <v>125</v>
      </c>
      <c r="T404" s="8" t="s">
        <v>128</v>
      </c>
      <c r="U404" s="14">
        <v>45812</v>
      </c>
      <c r="X404" s="8" t="s">
        <v>127</v>
      </c>
      <c r="Y404" s="13" t="s">
        <v>1364</v>
      </c>
      <c r="Z404" s="14">
        <v>45811</v>
      </c>
    </row>
    <row r="405" spans="1:28" ht="15" customHeight="1" x14ac:dyDescent="0.2">
      <c r="A405" s="8">
        <v>409</v>
      </c>
      <c r="B405" s="8" t="s">
        <v>125</v>
      </c>
      <c r="C405" s="14">
        <v>45811</v>
      </c>
      <c r="D405" s="8" t="s">
        <v>191</v>
      </c>
      <c r="E405" s="8" t="s">
        <v>940</v>
      </c>
      <c r="F405" s="8" t="s">
        <v>857</v>
      </c>
      <c r="G405" s="8" t="s">
        <v>336</v>
      </c>
      <c r="H405" s="8" t="s">
        <v>375</v>
      </c>
      <c r="I405" s="8" t="s">
        <v>391</v>
      </c>
      <c r="J405" s="8" t="s">
        <v>392</v>
      </c>
      <c r="K405" s="8" t="s">
        <v>806</v>
      </c>
      <c r="L405" s="8" t="s">
        <v>42</v>
      </c>
      <c r="O405" s="8" t="s">
        <v>125</v>
      </c>
      <c r="P405" s="8" t="s">
        <v>123</v>
      </c>
      <c r="Q405" s="8" t="s">
        <v>125</v>
      </c>
      <c r="R405" s="8" t="s">
        <v>126</v>
      </c>
      <c r="S405" s="8" t="s">
        <v>125</v>
      </c>
      <c r="T405" s="8" t="s">
        <v>128</v>
      </c>
      <c r="U405" s="14">
        <v>45813</v>
      </c>
      <c r="V405" s="20"/>
      <c r="X405" s="8" t="s">
        <v>127</v>
      </c>
      <c r="Y405" s="13" t="s">
        <v>1365</v>
      </c>
      <c r="Z405" s="14">
        <v>45812</v>
      </c>
    </row>
    <row r="406" spans="1:28" ht="15" customHeight="1" x14ac:dyDescent="0.2">
      <c r="A406" s="8">
        <v>410</v>
      </c>
      <c r="B406" s="8" t="s">
        <v>125</v>
      </c>
      <c r="C406" s="14">
        <v>45810</v>
      </c>
      <c r="D406" s="8" t="s">
        <v>54</v>
      </c>
      <c r="E406" s="8" t="s">
        <v>935</v>
      </c>
      <c r="F406" s="8" t="s">
        <v>936</v>
      </c>
      <c r="G406" s="8" t="s">
        <v>947</v>
      </c>
      <c r="H406" s="8" t="s">
        <v>1366</v>
      </c>
      <c r="I406" s="8" t="s">
        <v>58</v>
      </c>
      <c r="J406" s="8">
        <v>1200</v>
      </c>
      <c r="K406" s="13" t="s">
        <v>1367</v>
      </c>
      <c r="L406" s="8" t="s">
        <v>26</v>
      </c>
      <c r="O406" s="8" t="s">
        <v>125</v>
      </c>
      <c r="P406" s="8" t="s">
        <v>123</v>
      </c>
      <c r="Q406" s="8" t="s">
        <v>125</v>
      </c>
      <c r="R406" s="8" t="s">
        <v>126</v>
      </c>
      <c r="S406" s="8" t="s">
        <v>125</v>
      </c>
      <c r="T406" s="8" t="s">
        <v>128</v>
      </c>
      <c r="U406" s="14">
        <v>45813</v>
      </c>
      <c r="X406" s="8" t="s">
        <v>127</v>
      </c>
      <c r="Y406" s="24" t="s">
        <v>1368</v>
      </c>
      <c r="Z406" s="14">
        <v>45812</v>
      </c>
    </row>
    <row r="407" spans="1:28" ht="15.75" customHeight="1" x14ac:dyDescent="0.2">
      <c r="A407" s="8">
        <v>411</v>
      </c>
      <c r="B407" s="8" t="s">
        <v>125</v>
      </c>
      <c r="C407" s="14">
        <v>45812</v>
      </c>
      <c r="D407" s="8" t="s">
        <v>412</v>
      </c>
      <c r="E407" s="8" t="s">
        <v>1369</v>
      </c>
      <c r="F407" s="8" t="s">
        <v>1300</v>
      </c>
      <c r="G407" s="8" t="s">
        <v>46</v>
      </c>
      <c r="H407" s="8" t="s">
        <v>301</v>
      </c>
      <c r="I407" s="8" t="s">
        <v>344</v>
      </c>
      <c r="J407" s="8" t="s">
        <v>28</v>
      </c>
      <c r="K407" s="8" t="s">
        <v>1370</v>
      </c>
      <c r="L407" s="8" t="s">
        <v>26</v>
      </c>
      <c r="O407" s="21" t="s">
        <v>1372</v>
      </c>
      <c r="P407" s="8" t="s">
        <v>157</v>
      </c>
      <c r="Q407" s="8" t="s">
        <v>125</v>
      </c>
      <c r="R407" s="8" t="s">
        <v>126</v>
      </c>
      <c r="S407" s="8" t="s">
        <v>125</v>
      </c>
      <c r="T407" s="8" t="s">
        <v>128</v>
      </c>
      <c r="U407" s="14">
        <v>45814</v>
      </c>
      <c r="V407" s="20"/>
      <c r="X407" s="8" t="s">
        <v>127</v>
      </c>
      <c r="Y407" s="13" t="s">
        <v>1373</v>
      </c>
      <c r="Z407" s="14">
        <v>45813</v>
      </c>
    </row>
    <row r="408" spans="1:28" ht="15" customHeight="1" x14ac:dyDescent="0.2">
      <c r="A408" s="8">
        <v>412</v>
      </c>
      <c r="B408" s="8" t="s">
        <v>125</v>
      </c>
      <c r="C408" s="14">
        <v>45812</v>
      </c>
      <c r="D408" s="8" t="s">
        <v>412</v>
      </c>
      <c r="E408" s="8" t="s">
        <v>1369</v>
      </c>
      <c r="F408" s="8" t="s">
        <v>1300</v>
      </c>
      <c r="G408" s="8" t="s">
        <v>46</v>
      </c>
      <c r="H408" s="8" t="s">
        <v>301</v>
      </c>
      <c r="I408" s="8" t="s">
        <v>345</v>
      </c>
      <c r="J408" s="8" t="s">
        <v>28</v>
      </c>
      <c r="K408" s="8" t="s">
        <v>1371</v>
      </c>
      <c r="L408" s="8" t="s">
        <v>26</v>
      </c>
      <c r="O408" s="21" t="s">
        <v>1372</v>
      </c>
      <c r="P408" s="8" t="s">
        <v>157</v>
      </c>
      <c r="Q408" s="8" t="s">
        <v>125</v>
      </c>
      <c r="R408" s="8" t="s">
        <v>126</v>
      </c>
      <c r="S408" s="8" t="s">
        <v>125</v>
      </c>
      <c r="T408" s="8" t="s">
        <v>128</v>
      </c>
      <c r="U408" s="14">
        <v>45814</v>
      </c>
      <c r="X408" s="8" t="s">
        <v>127</v>
      </c>
      <c r="Y408" s="13" t="s">
        <v>1374</v>
      </c>
      <c r="Z408" s="14">
        <v>45813</v>
      </c>
    </row>
    <row r="409" spans="1:28" ht="15" customHeight="1" x14ac:dyDescent="0.2">
      <c r="A409" s="8">
        <v>413</v>
      </c>
      <c r="B409" s="8">
        <v>8554</v>
      </c>
      <c r="C409" s="14">
        <v>45813</v>
      </c>
      <c r="D409" s="8" t="s">
        <v>412</v>
      </c>
      <c r="E409" s="8" t="s">
        <v>1213</v>
      </c>
      <c r="F409" s="8" t="s">
        <v>1214</v>
      </c>
      <c r="G409" s="8" t="s">
        <v>764</v>
      </c>
      <c r="H409" s="8" t="s">
        <v>386</v>
      </c>
      <c r="I409" s="8" t="s">
        <v>24</v>
      </c>
      <c r="J409" s="8">
        <v>1100</v>
      </c>
      <c r="K409" s="8">
        <v>1360</v>
      </c>
      <c r="L409" s="8" t="s">
        <v>25</v>
      </c>
      <c r="O409" s="21" t="s">
        <v>1379</v>
      </c>
      <c r="P409" s="8" t="s">
        <v>115</v>
      </c>
      <c r="Q409" s="8" t="s">
        <v>130</v>
      </c>
      <c r="R409" s="8" t="s">
        <v>117</v>
      </c>
      <c r="S409" s="8" t="s">
        <v>117</v>
      </c>
      <c r="T409" s="8" t="s">
        <v>117</v>
      </c>
      <c r="U409" s="14"/>
      <c r="V409" s="20">
        <v>45814</v>
      </c>
      <c r="X409" s="8" t="str">
        <f t="shared" ref="X409:X410" si="115">G409&amp;AB$1&amp;O409</f>
        <v>RAHUL SHARMA./FSD/Exceedance/B737/25-06/01</v>
      </c>
      <c r="Y409" s="13" t="s">
        <v>1376</v>
      </c>
      <c r="Z409" s="14">
        <v>45814</v>
      </c>
    </row>
    <row r="410" spans="1:28" ht="15" customHeight="1" x14ac:dyDescent="0.2">
      <c r="A410" s="8">
        <v>414</v>
      </c>
      <c r="B410" s="8">
        <v>8555</v>
      </c>
      <c r="C410" s="14">
        <v>45813</v>
      </c>
      <c r="D410" s="8" t="s">
        <v>191</v>
      </c>
      <c r="E410" s="8" t="s">
        <v>145</v>
      </c>
      <c r="F410" s="8" t="s">
        <v>146</v>
      </c>
      <c r="G410" s="59" t="s">
        <v>1381</v>
      </c>
      <c r="H410" s="39" t="s">
        <v>1382</v>
      </c>
      <c r="I410" s="13" t="s">
        <v>78</v>
      </c>
      <c r="J410" s="13">
        <v>2.1</v>
      </c>
      <c r="K410" s="13">
        <v>2.1240000000000001</v>
      </c>
      <c r="L410" s="13" t="s">
        <v>36</v>
      </c>
      <c r="O410" s="21" t="s">
        <v>1380</v>
      </c>
      <c r="P410" s="8" t="s">
        <v>203</v>
      </c>
      <c r="Q410" s="8" t="s">
        <v>126</v>
      </c>
      <c r="R410" s="8" t="s">
        <v>117</v>
      </c>
      <c r="S410" s="8" t="s">
        <v>117</v>
      </c>
      <c r="T410" s="8" t="s">
        <v>117</v>
      </c>
      <c r="U410" s="20"/>
      <c r="V410" s="20">
        <v>45814</v>
      </c>
      <c r="X410" s="8" t="str">
        <f t="shared" si="115"/>
        <v>Olym Roy/FSD/Exceedance/B737/25-06/02</v>
      </c>
      <c r="Y410" s="13" t="s">
        <v>1377</v>
      </c>
      <c r="Z410" s="14">
        <v>45814</v>
      </c>
    </row>
    <row r="411" spans="1:28" ht="15" customHeight="1" x14ac:dyDescent="0.2">
      <c r="A411" s="8">
        <v>415</v>
      </c>
      <c r="B411" s="8" t="s">
        <v>125</v>
      </c>
      <c r="C411" s="14">
        <v>45813</v>
      </c>
      <c r="D411" s="8" t="s">
        <v>191</v>
      </c>
      <c r="E411" s="8" t="s">
        <v>145</v>
      </c>
      <c r="F411" s="8" t="s">
        <v>146</v>
      </c>
      <c r="G411" s="59" t="s">
        <v>1381</v>
      </c>
      <c r="H411" s="39" t="s">
        <v>1382</v>
      </c>
      <c r="I411" s="8" t="s">
        <v>313</v>
      </c>
      <c r="K411" s="8" t="s">
        <v>1375</v>
      </c>
      <c r="L411" s="8" t="s">
        <v>26</v>
      </c>
      <c r="O411" s="8" t="s">
        <v>125</v>
      </c>
      <c r="P411" s="13" t="s">
        <v>123</v>
      </c>
      <c r="Q411" s="8" t="s">
        <v>125</v>
      </c>
      <c r="R411" s="8" t="s">
        <v>126</v>
      </c>
      <c r="S411" s="8" t="s">
        <v>125</v>
      </c>
      <c r="T411" s="8" t="s">
        <v>128</v>
      </c>
      <c r="U411" s="14"/>
      <c r="X411" s="8" t="s">
        <v>127</v>
      </c>
      <c r="Y411" s="13" t="s">
        <v>1378</v>
      </c>
      <c r="Z411" s="14">
        <v>45814</v>
      </c>
    </row>
    <row r="412" spans="1:28" ht="15" customHeight="1" x14ac:dyDescent="0.2">
      <c r="A412" s="8">
        <v>416</v>
      </c>
      <c r="B412" s="8" t="s">
        <v>125</v>
      </c>
      <c r="C412" s="14">
        <v>45813</v>
      </c>
      <c r="D412" s="8" t="s">
        <v>412</v>
      </c>
      <c r="E412" s="8" t="s">
        <v>1185</v>
      </c>
      <c r="F412" s="8" t="s">
        <v>1186</v>
      </c>
      <c r="G412" s="8" t="s">
        <v>764</v>
      </c>
      <c r="H412" s="8" t="s">
        <v>386</v>
      </c>
      <c r="I412" s="8" t="s">
        <v>136</v>
      </c>
      <c r="J412" s="8" t="s">
        <v>382</v>
      </c>
      <c r="K412" s="8" t="s">
        <v>1383</v>
      </c>
      <c r="L412" s="8" t="s">
        <v>42</v>
      </c>
      <c r="O412" s="8" t="s">
        <v>125</v>
      </c>
      <c r="P412" s="13" t="s">
        <v>123</v>
      </c>
      <c r="Q412" s="8" t="s">
        <v>125</v>
      </c>
      <c r="R412" s="8" t="s">
        <v>126</v>
      </c>
      <c r="S412" s="8" t="s">
        <v>125</v>
      </c>
      <c r="T412" s="8" t="s">
        <v>128</v>
      </c>
      <c r="U412" s="20"/>
      <c r="V412" s="20"/>
      <c r="X412" s="8" t="s">
        <v>127</v>
      </c>
      <c r="Y412" s="13" t="s">
        <v>1384</v>
      </c>
      <c r="Z412" s="14">
        <v>45814</v>
      </c>
      <c r="AA412" s="14">
        <v>45815</v>
      </c>
      <c r="AB412" s="14">
        <v>45816</v>
      </c>
    </row>
    <row r="413" spans="1:28" s="60" customFormat="1" ht="15" customHeight="1" x14ac:dyDescent="0.2">
      <c r="A413" s="60">
        <v>417</v>
      </c>
      <c r="B413" s="60">
        <v>8557</v>
      </c>
      <c r="C413" s="61">
        <v>45814</v>
      </c>
      <c r="D413" s="60" t="s">
        <v>54</v>
      </c>
      <c r="E413" s="60" t="s">
        <v>1385</v>
      </c>
      <c r="F413" s="60" t="s">
        <v>1386</v>
      </c>
      <c r="G413" s="60" t="s">
        <v>194</v>
      </c>
      <c r="H413" s="60" t="s">
        <v>926</v>
      </c>
      <c r="I413" s="60" t="s">
        <v>1387</v>
      </c>
      <c r="J413" s="60" t="s">
        <v>1388</v>
      </c>
      <c r="K413" s="60" t="s">
        <v>1389</v>
      </c>
      <c r="L413" s="60" t="s">
        <v>42</v>
      </c>
      <c r="O413" s="62" t="s">
        <v>1391</v>
      </c>
      <c r="P413" s="60" t="s">
        <v>115</v>
      </c>
      <c r="Q413" s="60" t="s">
        <v>130</v>
      </c>
      <c r="R413" s="60" t="s">
        <v>117</v>
      </c>
      <c r="S413" s="60" t="s">
        <v>117</v>
      </c>
      <c r="T413" s="60" t="s">
        <v>117</v>
      </c>
      <c r="U413" s="61"/>
      <c r="V413" s="63">
        <v>45815</v>
      </c>
      <c r="X413" s="60" t="str">
        <f t="shared" ref="X413" si="116">G413&amp;AB$1&amp;O413</f>
        <v>MAHENDRA KUVARJI CHHEDA/FSD/Exceedance/B737/25-06/03</v>
      </c>
      <c r="Y413" s="42" t="s">
        <v>1390</v>
      </c>
      <c r="Z413" s="61">
        <v>45815</v>
      </c>
      <c r="AA413" s="36"/>
      <c r="AB413" s="36"/>
    </row>
    <row r="414" spans="1:28" ht="15" customHeight="1" x14ac:dyDescent="0.2">
      <c r="A414" s="8">
        <v>418</v>
      </c>
      <c r="B414" s="8" t="s">
        <v>125</v>
      </c>
      <c r="C414" s="61">
        <v>45814</v>
      </c>
      <c r="D414" s="8" t="s">
        <v>54</v>
      </c>
      <c r="E414" s="8" t="s">
        <v>1385</v>
      </c>
      <c r="F414" s="8" t="s">
        <v>1386</v>
      </c>
      <c r="G414" s="8" t="s">
        <v>194</v>
      </c>
      <c r="H414" s="8" t="s">
        <v>926</v>
      </c>
      <c r="I414" s="8" t="s">
        <v>57</v>
      </c>
      <c r="J414" s="8">
        <v>30</v>
      </c>
      <c r="K414" s="8">
        <v>32.700000000000003</v>
      </c>
      <c r="L414" s="8" t="s">
        <v>271</v>
      </c>
      <c r="O414" s="8" t="s">
        <v>125</v>
      </c>
      <c r="P414" s="8" t="s">
        <v>123</v>
      </c>
      <c r="Q414" s="8" t="s">
        <v>125</v>
      </c>
      <c r="R414" s="8" t="s">
        <v>126</v>
      </c>
      <c r="S414" s="8" t="s">
        <v>125</v>
      </c>
      <c r="T414" s="8" t="s">
        <v>128</v>
      </c>
      <c r="U414" s="14"/>
      <c r="X414" s="8" t="s">
        <v>127</v>
      </c>
      <c r="Y414" s="13" t="s">
        <v>1407</v>
      </c>
      <c r="Z414" s="14">
        <v>45816</v>
      </c>
    </row>
    <row r="415" spans="1:28" s="40" customFormat="1" ht="15" customHeight="1" x14ac:dyDescent="0.2">
      <c r="A415" s="40">
        <v>421</v>
      </c>
      <c r="B415" s="40">
        <v>8561</v>
      </c>
      <c r="C415" s="64">
        <v>45814</v>
      </c>
      <c r="D415" s="40" t="s">
        <v>144</v>
      </c>
      <c r="E415" s="40" t="s">
        <v>1397</v>
      </c>
      <c r="F415" s="40" t="s">
        <v>1398</v>
      </c>
      <c r="G415" s="40" t="s">
        <v>667</v>
      </c>
      <c r="H415" s="40" t="s">
        <v>1399</v>
      </c>
      <c r="I415" s="40" t="s">
        <v>1400</v>
      </c>
      <c r="J415" s="40" t="s">
        <v>1086</v>
      </c>
      <c r="K415" s="40" t="s">
        <v>1401</v>
      </c>
      <c r="L415" s="40" t="s">
        <v>42</v>
      </c>
      <c r="O415" s="40" t="s">
        <v>1405</v>
      </c>
      <c r="P415" s="40" t="s">
        <v>115</v>
      </c>
      <c r="Q415" s="40" t="s">
        <v>126</v>
      </c>
      <c r="R415" s="40" t="s">
        <v>418</v>
      </c>
      <c r="S415" s="40" t="s">
        <v>418</v>
      </c>
      <c r="T415" s="40" t="s">
        <v>418</v>
      </c>
      <c r="U415" s="64"/>
      <c r="X415" s="40" t="str">
        <f t="shared" ref="X415:X416" si="117">G415&amp;AB$1&amp;O415</f>
        <v>ARUN VASHIST/FSD/Exceedance/B737/25-06/04</v>
      </c>
      <c r="Y415" s="65" t="s">
        <v>1410</v>
      </c>
      <c r="Z415" s="64">
        <v>45816</v>
      </c>
    </row>
    <row r="416" spans="1:28" s="40" customFormat="1" ht="15" customHeight="1" x14ac:dyDescent="0.2">
      <c r="A416" s="40">
        <v>422</v>
      </c>
      <c r="B416" s="40">
        <v>8562</v>
      </c>
      <c r="C416" s="64">
        <v>45814</v>
      </c>
      <c r="D416" s="40" t="s">
        <v>144</v>
      </c>
      <c r="E416" s="40" t="s">
        <v>1402</v>
      </c>
      <c r="F416" s="40" t="s">
        <v>1398</v>
      </c>
      <c r="G416" s="40" t="s">
        <v>667</v>
      </c>
      <c r="H416" s="40" t="s">
        <v>1403</v>
      </c>
      <c r="I416" s="40" t="s">
        <v>1400</v>
      </c>
      <c r="J416" s="40" t="s">
        <v>1086</v>
      </c>
      <c r="K416" s="40" t="s">
        <v>1404</v>
      </c>
      <c r="L416" s="40" t="s">
        <v>42</v>
      </c>
      <c r="O416" s="40" t="s">
        <v>1406</v>
      </c>
      <c r="P416" s="40" t="s">
        <v>115</v>
      </c>
      <c r="Q416" s="40" t="s">
        <v>126</v>
      </c>
      <c r="R416" s="40" t="s">
        <v>418</v>
      </c>
      <c r="S416" s="40" t="s">
        <v>418</v>
      </c>
      <c r="T416" s="40" t="s">
        <v>418</v>
      </c>
      <c r="U416" s="66"/>
      <c r="V416" s="66"/>
      <c r="X416" s="40" t="str">
        <f t="shared" si="117"/>
        <v>ARUN VASHIST/FSD/Exceedance/B737/25-06/05</v>
      </c>
      <c r="Y416" s="65" t="s">
        <v>1411</v>
      </c>
      <c r="Z416" s="64">
        <v>45816</v>
      </c>
    </row>
    <row r="417" spans="1:26" ht="15" customHeight="1" x14ac:dyDescent="0.2">
      <c r="A417" s="8">
        <v>419</v>
      </c>
      <c r="B417" s="8" t="s">
        <v>125</v>
      </c>
      <c r="C417" s="14">
        <v>45814</v>
      </c>
      <c r="D417" s="8" t="s">
        <v>139</v>
      </c>
      <c r="E417" s="8" t="s">
        <v>1392</v>
      </c>
      <c r="F417" s="8" t="s">
        <v>1393</v>
      </c>
      <c r="G417" s="8" t="s">
        <v>1319</v>
      </c>
      <c r="H417" s="8" t="s">
        <v>482</v>
      </c>
      <c r="I417" s="8" t="s">
        <v>27</v>
      </c>
      <c r="J417" s="8" t="s">
        <v>28</v>
      </c>
      <c r="K417" s="8" t="s">
        <v>1394</v>
      </c>
      <c r="L417" s="8" t="s">
        <v>26</v>
      </c>
      <c r="O417" s="8" t="s">
        <v>1412</v>
      </c>
      <c r="P417" s="8" t="s">
        <v>123</v>
      </c>
      <c r="Q417" s="8" t="s">
        <v>125</v>
      </c>
      <c r="R417" s="8" t="s">
        <v>126</v>
      </c>
      <c r="S417" s="8" t="s">
        <v>125</v>
      </c>
      <c r="T417" s="8" t="s">
        <v>128</v>
      </c>
      <c r="U417" s="14"/>
      <c r="X417" s="8" t="s">
        <v>127</v>
      </c>
      <c r="Y417" s="13" t="s">
        <v>1408</v>
      </c>
      <c r="Z417" s="14">
        <v>45816</v>
      </c>
    </row>
    <row r="418" spans="1:26" ht="15" customHeight="1" x14ac:dyDescent="0.2">
      <c r="A418" s="8">
        <v>420</v>
      </c>
      <c r="B418" s="8" t="s">
        <v>125</v>
      </c>
      <c r="C418" s="14">
        <v>45814</v>
      </c>
      <c r="D418" s="8" t="s">
        <v>168</v>
      </c>
      <c r="E418" s="8" t="s">
        <v>1395</v>
      </c>
      <c r="F418" s="8" t="s">
        <v>95</v>
      </c>
      <c r="G418" s="8" t="s">
        <v>1083</v>
      </c>
      <c r="H418" s="8" t="s">
        <v>900</v>
      </c>
      <c r="I418" s="8" t="s">
        <v>27</v>
      </c>
      <c r="J418" s="8" t="s">
        <v>28</v>
      </c>
      <c r="K418" s="8" t="s">
        <v>1396</v>
      </c>
      <c r="L418" s="8" t="s">
        <v>26</v>
      </c>
      <c r="O418" s="8" t="s">
        <v>1413</v>
      </c>
      <c r="P418" s="8" t="s">
        <v>123</v>
      </c>
      <c r="Q418" s="8" t="s">
        <v>125</v>
      </c>
      <c r="R418" s="8" t="s">
        <v>126</v>
      </c>
      <c r="S418" s="8" t="s">
        <v>125</v>
      </c>
      <c r="T418" s="8" t="s">
        <v>128</v>
      </c>
      <c r="U418" s="14"/>
      <c r="X418" s="8" t="s">
        <v>127</v>
      </c>
      <c r="Y418" s="13" t="s">
        <v>1409</v>
      </c>
      <c r="Z418" s="14">
        <v>45816</v>
      </c>
    </row>
    <row r="419" spans="1:26" ht="15.75" customHeight="1" x14ac:dyDescent="0.2">
      <c r="A419" s="8">
        <v>421</v>
      </c>
      <c r="B419" s="8" t="s">
        <v>125</v>
      </c>
      <c r="C419" s="67">
        <v>45816</v>
      </c>
      <c r="D419" s="36" t="s">
        <v>412</v>
      </c>
      <c r="E419" s="36" t="s">
        <v>1416</v>
      </c>
      <c r="F419" s="36" t="s">
        <v>1417</v>
      </c>
      <c r="G419" s="36" t="s">
        <v>714</v>
      </c>
      <c r="H419" s="36" t="s">
        <v>507</v>
      </c>
      <c r="I419" s="36" t="s">
        <v>27</v>
      </c>
      <c r="J419" s="36" t="s">
        <v>28</v>
      </c>
      <c r="K419" s="36" t="s">
        <v>1418</v>
      </c>
      <c r="L419" s="36" t="s">
        <v>26</v>
      </c>
      <c r="O419" s="8" t="s">
        <v>1415</v>
      </c>
      <c r="P419" s="8" t="s">
        <v>157</v>
      </c>
      <c r="Q419" s="8" t="s">
        <v>125</v>
      </c>
      <c r="R419" s="8" t="s">
        <v>126</v>
      </c>
      <c r="S419" s="8" t="s">
        <v>125</v>
      </c>
      <c r="T419" s="8" t="s">
        <v>128</v>
      </c>
      <c r="U419" s="20"/>
      <c r="V419" s="20"/>
      <c r="X419" s="8" t="s">
        <v>127</v>
      </c>
      <c r="Y419" s="8" t="s">
        <v>1421</v>
      </c>
      <c r="Z419" s="14">
        <v>45817</v>
      </c>
    </row>
    <row r="420" spans="1:26" ht="15" customHeight="1" x14ac:dyDescent="0.2">
      <c r="A420" s="8">
        <v>422</v>
      </c>
      <c r="B420" s="8" t="s">
        <v>125</v>
      </c>
      <c r="C420" s="67">
        <v>45814</v>
      </c>
      <c r="D420" s="36" t="s">
        <v>37</v>
      </c>
      <c r="E420" s="36" t="s">
        <v>1419</v>
      </c>
      <c r="F420" s="36" t="s">
        <v>311</v>
      </c>
      <c r="G420" s="36" t="s">
        <v>703</v>
      </c>
      <c r="H420" s="36" t="s">
        <v>260</v>
      </c>
      <c r="I420" s="36" t="s">
        <v>136</v>
      </c>
      <c r="J420" s="36" t="s">
        <v>137</v>
      </c>
      <c r="K420" s="36" t="s">
        <v>1420</v>
      </c>
      <c r="L420" s="36" t="s">
        <v>42</v>
      </c>
      <c r="O420" s="8" t="s">
        <v>125</v>
      </c>
      <c r="P420" s="8" t="s">
        <v>123</v>
      </c>
      <c r="Q420" s="8" t="s">
        <v>125</v>
      </c>
      <c r="R420" s="8" t="s">
        <v>126</v>
      </c>
      <c r="S420" s="8" t="s">
        <v>125</v>
      </c>
      <c r="T420" s="8" t="s">
        <v>128</v>
      </c>
      <c r="U420" s="14"/>
      <c r="X420" s="8" t="s">
        <v>127</v>
      </c>
      <c r="Y420" s="13" t="s">
        <v>1422</v>
      </c>
      <c r="Z420" s="14">
        <v>45817</v>
      </c>
    </row>
    <row r="421" spans="1:26" ht="15" customHeight="1" x14ac:dyDescent="0.2">
      <c r="A421" s="8">
        <v>423</v>
      </c>
      <c r="B421" s="8" t="s">
        <v>125</v>
      </c>
      <c r="C421" s="67">
        <v>45814</v>
      </c>
      <c r="D421" s="36" t="s">
        <v>37</v>
      </c>
      <c r="E421" s="36" t="s">
        <v>1419</v>
      </c>
      <c r="F421" s="36" t="s">
        <v>311</v>
      </c>
      <c r="G421" s="36" t="s">
        <v>703</v>
      </c>
      <c r="H421" s="36" t="s">
        <v>260</v>
      </c>
      <c r="I421" s="36" t="s">
        <v>1003</v>
      </c>
      <c r="J421" s="36">
        <v>20</v>
      </c>
      <c r="K421" s="36">
        <v>22.5</v>
      </c>
      <c r="L421" s="36" t="s">
        <v>36</v>
      </c>
      <c r="O421" s="8" t="s">
        <v>125</v>
      </c>
      <c r="P421" s="8" t="s">
        <v>123</v>
      </c>
      <c r="Q421" s="8" t="s">
        <v>125</v>
      </c>
      <c r="R421" s="8" t="s">
        <v>126</v>
      </c>
      <c r="S421" s="8" t="s">
        <v>125</v>
      </c>
      <c r="T421" s="8" t="s">
        <v>128</v>
      </c>
      <c r="U421" s="20"/>
      <c r="V421" s="20"/>
      <c r="X421" s="8" t="s">
        <v>127</v>
      </c>
      <c r="Y421" s="13" t="s">
        <v>1423</v>
      </c>
      <c r="Z421" s="14">
        <v>45817</v>
      </c>
    </row>
    <row r="422" spans="1:26" ht="15" customHeight="1" x14ac:dyDescent="0.2">
      <c r="A422" s="8">
        <v>424</v>
      </c>
      <c r="B422" s="8">
        <v>8569</v>
      </c>
      <c r="C422" s="14">
        <v>45817</v>
      </c>
      <c r="D422" s="8" t="s">
        <v>168</v>
      </c>
      <c r="E422" s="8" t="s">
        <v>894</v>
      </c>
      <c r="F422" s="8" t="s">
        <v>592</v>
      </c>
      <c r="G422" s="8" t="s">
        <v>1336</v>
      </c>
      <c r="H422" s="8" t="s">
        <v>679</v>
      </c>
      <c r="I422" s="8" t="s">
        <v>71</v>
      </c>
      <c r="J422" s="8">
        <v>36</v>
      </c>
      <c r="K422" s="8">
        <v>37.799999999999997</v>
      </c>
      <c r="L422" s="8" t="s">
        <v>271</v>
      </c>
      <c r="O422" s="8" t="s">
        <v>1415</v>
      </c>
      <c r="P422" s="8" t="s">
        <v>203</v>
      </c>
      <c r="Q422" s="8" t="s">
        <v>126</v>
      </c>
      <c r="R422" s="8" t="s">
        <v>117</v>
      </c>
      <c r="S422" s="8" t="s">
        <v>117</v>
      </c>
      <c r="T422" s="8" t="s">
        <v>117</v>
      </c>
      <c r="U422" s="14"/>
      <c r="X422" s="8" t="str">
        <f>G422&amp;AB$1&amp;O422</f>
        <v>ASHISH MAHESHKUMAR MAYANI/FSD/Exceedance/B737/25-06/08</v>
      </c>
      <c r="Y422" s="13" t="s">
        <v>1414</v>
      </c>
      <c r="Z422" s="14">
        <v>45818</v>
      </c>
    </row>
    <row r="423" spans="1:26" ht="15" customHeight="1" x14ac:dyDescent="0.2">
      <c r="C423" s="14"/>
      <c r="R423" s="21"/>
      <c r="U423" s="20"/>
      <c r="V423" s="20"/>
      <c r="Z423" s="20"/>
    </row>
    <row r="424" spans="1:26" ht="15" customHeight="1" x14ac:dyDescent="0.2">
      <c r="C424" s="20"/>
      <c r="R424" s="21"/>
      <c r="U424" s="20"/>
      <c r="V424" s="20"/>
      <c r="Z424" s="20"/>
    </row>
    <row r="425" spans="1:26" ht="15" customHeight="1" x14ac:dyDescent="0.2">
      <c r="C425" s="14"/>
      <c r="U425" s="14"/>
      <c r="Z425" s="20"/>
    </row>
    <row r="426" spans="1:26" ht="15" customHeight="1" x14ac:dyDescent="0.2">
      <c r="C426" s="20"/>
      <c r="U426" s="14"/>
      <c r="Z426" s="20"/>
    </row>
    <row r="427" spans="1:26" ht="15" customHeight="1" x14ac:dyDescent="0.2">
      <c r="C427" s="14"/>
      <c r="R427" s="21"/>
      <c r="U427" s="20"/>
      <c r="V427" s="20"/>
      <c r="Z427" s="20"/>
    </row>
    <row r="428" spans="1:26" ht="15" customHeight="1" x14ac:dyDescent="0.2">
      <c r="C428" s="14"/>
      <c r="R428" s="21"/>
      <c r="U428" s="20"/>
      <c r="V428" s="20"/>
      <c r="Z428" s="20"/>
    </row>
    <row r="429" spans="1:26" ht="15" customHeight="1" x14ac:dyDescent="0.2">
      <c r="C429" s="14"/>
      <c r="U429" s="14"/>
      <c r="Z429" s="20"/>
    </row>
    <row r="430" spans="1:26" ht="15" customHeight="1" x14ac:dyDescent="0.2">
      <c r="C430" s="14"/>
      <c r="U430" s="14"/>
      <c r="Z430" s="20"/>
    </row>
    <row r="431" spans="1:26" ht="15" customHeight="1" x14ac:dyDescent="0.2">
      <c r="C431" s="14"/>
      <c r="U431" s="20"/>
      <c r="V431" s="20"/>
      <c r="Y431" s="26"/>
      <c r="Z431" s="20"/>
    </row>
    <row r="432" spans="1:26" ht="15" customHeight="1" x14ac:dyDescent="0.2">
      <c r="C432" s="14"/>
      <c r="R432" s="21"/>
      <c r="U432" s="20"/>
      <c r="V432" s="20"/>
      <c r="Z432" s="20"/>
    </row>
    <row r="433" spans="3:26" ht="15" customHeight="1" x14ac:dyDescent="0.2">
      <c r="C433" s="14"/>
      <c r="R433" s="21"/>
      <c r="U433" s="20"/>
      <c r="V433" s="20"/>
      <c r="Z433" s="20"/>
    </row>
    <row r="434" spans="3:26" ht="15" customHeight="1" x14ac:dyDescent="0.2">
      <c r="C434" s="14"/>
      <c r="U434" s="20"/>
      <c r="V434" s="20"/>
      <c r="Z434" s="20"/>
    </row>
    <row r="435" spans="3:26" ht="15" customHeight="1" x14ac:dyDescent="0.2">
      <c r="C435" s="14"/>
      <c r="R435" s="21"/>
      <c r="U435" s="20"/>
      <c r="V435" s="20"/>
      <c r="Z435" s="20"/>
    </row>
    <row r="436" spans="3:26" ht="15" customHeight="1" x14ac:dyDescent="0.2">
      <c r="C436" s="14"/>
      <c r="U436" s="14"/>
      <c r="Z436" s="20"/>
    </row>
    <row r="437" spans="3:26" ht="15" customHeight="1" x14ac:dyDescent="0.2">
      <c r="C437" s="14"/>
      <c r="U437" s="14"/>
      <c r="Z437" s="20"/>
    </row>
    <row r="438" spans="3:26" ht="15" customHeight="1" x14ac:dyDescent="0.2">
      <c r="C438" s="14"/>
      <c r="R438" s="21"/>
      <c r="U438" s="20"/>
      <c r="V438" s="20"/>
      <c r="Z438" s="20"/>
    </row>
    <row r="439" spans="3:26" ht="15" customHeight="1" x14ac:dyDescent="0.2">
      <c r="C439" s="14"/>
      <c r="U439" s="20"/>
      <c r="V439" s="20"/>
      <c r="Z439" s="20"/>
    </row>
    <row r="440" spans="3:26" ht="15" customHeight="1" x14ac:dyDescent="0.2">
      <c r="C440" s="14"/>
      <c r="U440" s="14"/>
      <c r="Z440" s="20"/>
    </row>
    <row r="441" spans="3:26" ht="15" customHeight="1" x14ac:dyDescent="0.2">
      <c r="C441" s="14"/>
      <c r="U441" s="14"/>
      <c r="Z441" s="20"/>
    </row>
    <row r="442" spans="3:26" ht="15" customHeight="1" x14ac:dyDescent="0.2">
      <c r="C442" s="14"/>
      <c r="U442" s="14"/>
      <c r="Z442" s="20"/>
    </row>
    <row r="443" spans="3:26" ht="15" customHeight="1" x14ac:dyDescent="0.2">
      <c r="C443" s="14"/>
      <c r="U443" s="20"/>
      <c r="V443" s="20"/>
      <c r="Z443" s="20"/>
    </row>
    <row r="444" spans="3:26" ht="15" customHeight="1" x14ac:dyDescent="0.2">
      <c r="C444" s="14"/>
      <c r="U444" s="20"/>
      <c r="V444" s="20"/>
      <c r="Z444" s="20"/>
    </row>
    <row r="445" spans="3:26" ht="15" customHeight="1" x14ac:dyDescent="0.2">
      <c r="C445" s="14"/>
      <c r="U445" s="14"/>
      <c r="Z445" s="20"/>
    </row>
    <row r="446" spans="3:26" ht="15" customHeight="1" x14ac:dyDescent="0.2">
      <c r="C446" s="14"/>
      <c r="U446" s="14"/>
      <c r="Z446" s="20"/>
    </row>
    <row r="447" spans="3:26" ht="15" customHeight="1" x14ac:dyDescent="0.2">
      <c r="C447" s="14"/>
      <c r="U447" s="14"/>
      <c r="Z447" s="20"/>
    </row>
    <row r="448" spans="3:26" ht="15" customHeight="1" x14ac:dyDescent="0.2">
      <c r="C448" s="14"/>
      <c r="U448" s="14"/>
      <c r="Z448" s="20"/>
    </row>
    <row r="449" spans="3:26" ht="15" customHeight="1" x14ac:dyDescent="0.2">
      <c r="C449" s="14"/>
      <c r="U449" s="14"/>
      <c r="Z449" s="20"/>
    </row>
    <row r="450" spans="3:26" ht="15" customHeight="1" x14ac:dyDescent="0.2">
      <c r="C450" s="14"/>
      <c r="U450" s="14"/>
      <c r="Z450" s="20"/>
    </row>
    <row r="451" spans="3:26" ht="15" customHeight="1" x14ac:dyDescent="0.2">
      <c r="C451" s="14"/>
      <c r="U451" s="14"/>
      <c r="Z451" s="20"/>
    </row>
    <row r="452" spans="3:26" ht="15" customHeight="1" x14ac:dyDescent="0.2">
      <c r="C452" s="14"/>
      <c r="U452" s="14"/>
      <c r="Z452" s="20"/>
    </row>
    <row r="453" spans="3:26" ht="15" customHeight="1" x14ac:dyDescent="0.2">
      <c r="C453" s="14"/>
      <c r="R453" s="21"/>
      <c r="U453" s="20"/>
      <c r="V453" s="20"/>
      <c r="Z453" s="20"/>
    </row>
    <row r="454" spans="3:26" ht="15" customHeight="1" x14ac:dyDescent="0.2">
      <c r="C454" s="14"/>
      <c r="R454" s="21"/>
      <c r="U454" s="20"/>
      <c r="V454" s="20"/>
      <c r="Z454" s="20"/>
    </row>
    <row r="455" spans="3:26" ht="15" customHeight="1" x14ac:dyDescent="0.2">
      <c r="C455" s="14"/>
      <c r="U455" s="14"/>
      <c r="Z455" s="20"/>
    </row>
    <row r="456" spans="3:26" ht="15" customHeight="1" x14ac:dyDescent="0.2">
      <c r="C456" s="14"/>
      <c r="U456" s="14"/>
      <c r="Z456" s="20"/>
    </row>
    <row r="457" spans="3:26" ht="15" customHeight="1" x14ac:dyDescent="0.2">
      <c r="C457" s="14"/>
      <c r="U457" s="14"/>
      <c r="Z457" s="20"/>
    </row>
    <row r="458" spans="3:26" ht="15" customHeight="1" x14ac:dyDescent="0.2">
      <c r="C458" s="14"/>
      <c r="R458" s="21"/>
      <c r="U458" s="20"/>
      <c r="V458" s="20"/>
      <c r="Z458" s="20"/>
    </row>
    <row r="459" spans="3:26" ht="15" customHeight="1" x14ac:dyDescent="0.2">
      <c r="C459" s="14"/>
      <c r="U459" s="14"/>
      <c r="Z459" s="20"/>
    </row>
    <row r="460" spans="3:26" ht="15" customHeight="1" x14ac:dyDescent="0.2">
      <c r="C460" s="20"/>
      <c r="U460" s="14"/>
      <c r="Y460" s="22"/>
      <c r="Z460" s="20"/>
    </row>
    <row r="461" spans="3:26" ht="15" customHeight="1" x14ac:dyDescent="0.2">
      <c r="C461" s="20"/>
      <c r="U461" s="14"/>
      <c r="Z461" s="20"/>
    </row>
    <row r="462" spans="3:26" ht="15" customHeight="1" x14ac:dyDescent="0.2">
      <c r="C462" s="14"/>
      <c r="R462" s="21"/>
      <c r="U462" s="20"/>
      <c r="V462" s="20"/>
      <c r="Z462" s="20"/>
    </row>
    <row r="463" spans="3:26" ht="15" customHeight="1" x14ac:dyDescent="0.2">
      <c r="C463" s="14"/>
      <c r="R463" s="21"/>
      <c r="U463" s="20"/>
      <c r="V463" s="20"/>
      <c r="Z463" s="20"/>
    </row>
    <row r="464" spans="3:26" ht="15" customHeight="1" x14ac:dyDescent="0.2">
      <c r="C464" s="20"/>
      <c r="U464" s="14"/>
      <c r="Z464" s="20"/>
    </row>
    <row r="465" spans="3:26" ht="15" customHeight="1" x14ac:dyDescent="0.2">
      <c r="C465" s="14"/>
      <c r="J465" s="21"/>
      <c r="U465" s="14"/>
      <c r="Y465" s="22"/>
      <c r="Z465" s="20"/>
    </row>
    <row r="466" spans="3:26" ht="15" customHeight="1" x14ac:dyDescent="0.2">
      <c r="C466" s="14"/>
      <c r="J466" s="21"/>
      <c r="U466" s="14"/>
      <c r="Y466" s="22"/>
      <c r="Z466" s="20"/>
    </row>
    <row r="467" spans="3:26" ht="15" customHeight="1" x14ac:dyDescent="0.2">
      <c r="C467" s="14"/>
      <c r="U467" s="20"/>
      <c r="V467" s="20"/>
      <c r="Z467" s="20"/>
    </row>
    <row r="468" spans="3:26" ht="15" customHeight="1" x14ac:dyDescent="0.2">
      <c r="C468" s="14"/>
      <c r="U468" s="20"/>
      <c r="V468" s="20"/>
      <c r="Z468" s="20"/>
    </row>
    <row r="469" spans="3:26" ht="15" customHeight="1" x14ac:dyDescent="0.2">
      <c r="C469" s="20"/>
      <c r="U469" s="14"/>
      <c r="Z469" s="20"/>
    </row>
    <row r="470" spans="3:26" ht="15" customHeight="1" x14ac:dyDescent="0.2">
      <c r="C470" s="14"/>
      <c r="U470" s="20"/>
      <c r="V470" s="20"/>
      <c r="Z470" s="20"/>
    </row>
    <row r="471" spans="3:26" ht="15" customHeight="1" x14ac:dyDescent="0.2">
      <c r="C471" s="14"/>
      <c r="U471" s="20"/>
      <c r="V471" s="20"/>
      <c r="Z471" s="20"/>
    </row>
    <row r="472" spans="3:26" ht="15" customHeight="1" x14ac:dyDescent="0.2">
      <c r="C472" s="14"/>
      <c r="U472" s="20"/>
      <c r="V472" s="20"/>
      <c r="Z472" s="20"/>
    </row>
    <row r="473" spans="3:26" ht="15" customHeight="1" x14ac:dyDescent="0.2">
      <c r="C473" s="14"/>
      <c r="U473" s="14"/>
      <c r="Z473" s="20"/>
    </row>
    <row r="474" spans="3:26" ht="15" customHeight="1" x14ac:dyDescent="0.2">
      <c r="C474" s="14"/>
      <c r="U474" s="20"/>
      <c r="V474" s="20"/>
      <c r="Z474" s="20"/>
    </row>
    <row r="475" spans="3:26" ht="15" customHeight="1" x14ac:dyDescent="0.2">
      <c r="C475" s="14"/>
      <c r="U475" s="20"/>
      <c r="V475" s="20"/>
      <c r="Z475" s="20"/>
    </row>
    <row r="476" spans="3:26" ht="15" customHeight="1" x14ac:dyDescent="0.2">
      <c r="C476" s="14"/>
      <c r="U476" s="14"/>
      <c r="V476" s="20"/>
      <c r="Z476" s="20"/>
    </row>
    <row r="477" spans="3:26" ht="15" customHeight="1" x14ac:dyDescent="0.2">
      <c r="C477" s="14"/>
      <c r="U477" s="14"/>
      <c r="Z477" s="20"/>
    </row>
    <row r="478" spans="3:26" ht="15" customHeight="1" x14ac:dyDescent="0.2">
      <c r="C478" s="14"/>
      <c r="U478" s="20"/>
      <c r="V478" s="20"/>
      <c r="Z478" s="20"/>
    </row>
    <row r="479" spans="3:26" ht="15" customHeight="1" x14ac:dyDescent="0.2">
      <c r="C479" s="14"/>
      <c r="U479" s="14"/>
      <c r="Z479" s="20"/>
    </row>
    <row r="480" spans="3:26" ht="15" customHeight="1" x14ac:dyDescent="0.2">
      <c r="C480" s="14"/>
      <c r="U480" s="14"/>
      <c r="Z480" s="20"/>
    </row>
    <row r="481" spans="3:26" ht="15" customHeight="1" x14ac:dyDescent="0.2">
      <c r="C481" s="14"/>
      <c r="U481" s="14"/>
      <c r="Z481" s="20"/>
    </row>
    <row r="482" spans="3:26" ht="15" customHeight="1" x14ac:dyDescent="0.2">
      <c r="C482" s="14"/>
      <c r="U482" s="20"/>
      <c r="V482" s="20"/>
      <c r="Z482" s="20"/>
    </row>
    <row r="483" spans="3:26" ht="15" customHeight="1" x14ac:dyDescent="0.2">
      <c r="C483" s="14"/>
      <c r="U483" s="14"/>
      <c r="Z483" s="20"/>
    </row>
    <row r="484" spans="3:26" ht="15" customHeight="1" x14ac:dyDescent="0.2">
      <c r="C484" s="14"/>
      <c r="U484" s="14"/>
      <c r="Z484" s="20"/>
    </row>
    <row r="485" spans="3:26" ht="15" customHeight="1" x14ac:dyDescent="0.2">
      <c r="C485" s="14"/>
      <c r="U485" s="14"/>
      <c r="Z485" s="20"/>
    </row>
    <row r="486" spans="3:26" ht="14.25" customHeight="1" x14ac:dyDescent="0.2">
      <c r="C486" s="20"/>
      <c r="G486" s="13"/>
      <c r="H486" s="13"/>
      <c r="U486" s="14"/>
      <c r="Z486" s="20"/>
    </row>
    <row r="487" spans="3:26" ht="15" customHeight="1" x14ac:dyDescent="0.2">
      <c r="C487" s="14"/>
      <c r="U487" s="20"/>
      <c r="V487" s="20"/>
      <c r="Z487" s="20"/>
    </row>
    <row r="488" spans="3:26" ht="15" customHeight="1" x14ac:dyDescent="0.2">
      <c r="C488" s="14"/>
      <c r="U488" s="20"/>
      <c r="V488" s="20"/>
      <c r="Z488" s="20"/>
    </row>
    <row r="489" spans="3:26" ht="15" customHeight="1" x14ac:dyDescent="0.2">
      <c r="C489" s="20"/>
      <c r="U489" s="14"/>
      <c r="Y489" s="26"/>
      <c r="Z489" s="20"/>
    </row>
    <row r="490" spans="3:26" ht="15" customHeight="1" x14ac:dyDescent="0.2">
      <c r="C490" s="14"/>
      <c r="U490" s="20"/>
      <c r="V490" s="20"/>
      <c r="Z490" s="20"/>
    </row>
    <row r="491" spans="3:26" ht="15" customHeight="1" x14ac:dyDescent="0.2">
      <c r="C491" s="14"/>
      <c r="U491" s="20"/>
      <c r="V491" s="20"/>
      <c r="Z491" s="20"/>
    </row>
    <row r="492" spans="3:26" ht="15" customHeight="1" x14ac:dyDescent="0.2">
      <c r="C492" s="14"/>
      <c r="U492" s="14"/>
      <c r="Z492" s="20"/>
    </row>
    <row r="493" spans="3:26" ht="15" customHeight="1" x14ac:dyDescent="0.2">
      <c r="C493" s="14"/>
      <c r="U493" s="14"/>
      <c r="Z493" s="20"/>
    </row>
    <row r="494" spans="3:26" ht="15" customHeight="1" x14ac:dyDescent="0.2">
      <c r="C494" s="14"/>
      <c r="U494" s="20"/>
      <c r="V494" s="20"/>
      <c r="Z494" s="20"/>
    </row>
    <row r="495" spans="3:26" ht="15" customHeight="1" x14ac:dyDescent="0.2">
      <c r="C495" s="14"/>
      <c r="U495" s="20"/>
      <c r="V495" s="20"/>
      <c r="Z495" s="20"/>
    </row>
    <row r="496" spans="3:26" ht="15" customHeight="1" x14ac:dyDescent="0.2">
      <c r="C496" s="14"/>
      <c r="U496" s="20"/>
      <c r="V496" s="20"/>
      <c r="Z496" s="20"/>
    </row>
    <row r="497" spans="3:26" ht="15" customHeight="1" x14ac:dyDescent="0.2">
      <c r="C497" s="14"/>
      <c r="U497" s="14"/>
      <c r="Z497" s="20"/>
    </row>
    <row r="498" spans="3:26" ht="15" customHeight="1" x14ac:dyDescent="0.2">
      <c r="C498" s="14"/>
      <c r="U498" s="14"/>
      <c r="Z498" s="20"/>
    </row>
    <row r="499" spans="3:26" ht="15" customHeight="1" x14ac:dyDescent="0.2">
      <c r="C499" s="14"/>
      <c r="U499" s="14"/>
      <c r="Z499" s="20"/>
    </row>
    <row r="500" spans="3:26" ht="15" customHeight="1" x14ac:dyDescent="0.2">
      <c r="C500" s="14"/>
      <c r="U500" s="14"/>
      <c r="Z500" s="20"/>
    </row>
    <row r="501" spans="3:26" ht="15" customHeight="1" x14ac:dyDescent="0.2">
      <c r="C501" s="20"/>
      <c r="U501" s="14"/>
      <c r="Z501" s="20"/>
    </row>
    <row r="502" spans="3:26" ht="15" customHeight="1" x14ac:dyDescent="0.2">
      <c r="C502" s="14"/>
      <c r="U502" s="20"/>
      <c r="V502" s="20"/>
      <c r="Z502" s="20"/>
    </row>
    <row r="503" spans="3:26" ht="15" customHeight="1" x14ac:dyDescent="0.2">
      <c r="C503" s="14"/>
      <c r="U503" s="14"/>
      <c r="Z503" s="20"/>
    </row>
    <row r="504" spans="3:26" ht="15" customHeight="1" x14ac:dyDescent="0.2">
      <c r="C504" s="14"/>
      <c r="U504" s="14"/>
      <c r="Z504" s="20"/>
    </row>
    <row r="505" spans="3:26" ht="15" customHeight="1" x14ac:dyDescent="0.2">
      <c r="C505" s="14"/>
      <c r="U505" s="14"/>
      <c r="Z505" s="20"/>
    </row>
    <row r="506" spans="3:26" ht="15" customHeight="1" x14ac:dyDescent="0.2">
      <c r="C506" s="14"/>
      <c r="U506" s="14"/>
      <c r="Z506" s="20"/>
    </row>
    <row r="507" spans="3:26" ht="15" customHeight="1" x14ac:dyDescent="0.2">
      <c r="C507" s="14"/>
      <c r="U507" s="20"/>
      <c r="V507" s="20"/>
      <c r="Z507" s="20"/>
    </row>
    <row r="508" spans="3:26" ht="15" customHeight="1" x14ac:dyDescent="0.2">
      <c r="C508" s="14"/>
      <c r="U508" s="14"/>
      <c r="Z508" s="20"/>
    </row>
    <row r="509" spans="3:26" ht="15" customHeight="1" x14ac:dyDescent="0.2">
      <c r="C509" s="14"/>
      <c r="U509" s="14"/>
      <c r="Z509" s="20"/>
    </row>
    <row r="510" spans="3:26" ht="15" customHeight="1" x14ac:dyDescent="0.2">
      <c r="C510" s="14"/>
      <c r="U510" s="20"/>
      <c r="V510" s="20"/>
      <c r="Z510" s="20"/>
    </row>
    <row r="511" spans="3:26" ht="15" customHeight="1" x14ac:dyDescent="0.2">
      <c r="C511" s="14"/>
      <c r="U511" s="20"/>
      <c r="V511" s="20"/>
      <c r="Z511" s="20"/>
    </row>
    <row r="512" spans="3:26" ht="15" customHeight="1" x14ac:dyDescent="0.2">
      <c r="C512" s="14"/>
      <c r="U512" s="20"/>
      <c r="V512" s="20"/>
      <c r="Z512" s="20"/>
    </row>
    <row r="513" spans="3:26" ht="15" customHeight="1" x14ac:dyDescent="0.2">
      <c r="C513" s="14"/>
      <c r="U513" s="20"/>
      <c r="V513" s="20"/>
      <c r="Z513" s="20"/>
    </row>
    <row r="514" spans="3:26" ht="15" customHeight="1" x14ac:dyDescent="0.2">
      <c r="C514" s="14"/>
      <c r="U514" s="20"/>
      <c r="V514" s="20"/>
      <c r="Z514" s="20"/>
    </row>
    <row r="515" spans="3:26" ht="15" customHeight="1" x14ac:dyDescent="0.2">
      <c r="C515" s="14"/>
      <c r="U515" s="20"/>
      <c r="V515" s="20"/>
      <c r="Z515" s="20"/>
    </row>
    <row r="516" spans="3:26" ht="15" customHeight="1" x14ac:dyDescent="0.2">
      <c r="C516" s="14"/>
      <c r="U516" s="20"/>
      <c r="V516" s="20"/>
      <c r="Z516" s="20"/>
    </row>
    <row r="517" spans="3:26" ht="15" customHeight="1" x14ac:dyDescent="0.2">
      <c r="C517" s="14"/>
      <c r="U517" s="20"/>
      <c r="V517" s="20"/>
      <c r="Z517" s="20"/>
    </row>
    <row r="518" spans="3:26" ht="15" customHeight="1" x14ac:dyDescent="0.2">
      <c r="C518" s="14"/>
      <c r="U518" s="20"/>
      <c r="V518" s="20"/>
      <c r="Z518" s="20"/>
    </row>
    <row r="519" spans="3:26" ht="15" customHeight="1" x14ac:dyDescent="0.2">
      <c r="C519" s="20"/>
      <c r="U519" s="14"/>
      <c r="Z519" s="20"/>
    </row>
    <row r="520" spans="3:26" ht="12.75" customHeight="1" x14ac:dyDescent="0.2">
      <c r="C520" s="20"/>
      <c r="U520" s="14"/>
      <c r="Z520" s="20"/>
    </row>
    <row r="521" spans="3:26" ht="15" customHeight="1" x14ac:dyDescent="0.2">
      <c r="C521" s="14"/>
      <c r="U521" s="20"/>
      <c r="V521" s="20"/>
      <c r="Z521" s="20"/>
    </row>
    <row r="522" spans="3:26" ht="14.25" customHeight="1" x14ac:dyDescent="0.2">
      <c r="C522" s="14"/>
      <c r="U522" s="14"/>
      <c r="Z522" s="20"/>
    </row>
    <row r="523" spans="3:26" ht="15" customHeight="1" x14ac:dyDescent="0.2">
      <c r="C523" s="14"/>
      <c r="U523" s="14"/>
      <c r="Z523" s="20"/>
    </row>
    <row r="524" spans="3:26" ht="15" customHeight="1" x14ac:dyDescent="0.2">
      <c r="C524" s="14"/>
      <c r="U524" s="20"/>
      <c r="V524" s="20"/>
      <c r="Z524" s="20"/>
    </row>
    <row r="525" spans="3:26" ht="15" customHeight="1" x14ac:dyDescent="0.2">
      <c r="C525" s="14"/>
      <c r="U525" s="14"/>
      <c r="Z525" s="20"/>
    </row>
    <row r="526" spans="3:26" ht="15" customHeight="1" x14ac:dyDescent="0.2">
      <c r="C526" s="14"/>
      <c r="U526" s="14"/>
      <c r="Z526" s="20"/>
    </row>
    <row r="527" spans="3:26" ht="15" customHeight="1" x14ac:dyDescent="0.2">
      <c r="C527" s="14"/>
      <c r="U527" s="20"/>
      <c r="V527" s="20"/>
      <c r="Z527" s="20"/>
    </row>
    <row r="528" spans="3:26" ht="15" customHeight="1" x14ac:dyDescent="0.2">
      <c r="C528" s="14"/>
      <c r="U528" s="20"/>
      <c r="V528" s="20"/>
      <c r="Z528" s="20"/>
    </row>
    <row r="529" spans="3:26" ht="15" customHeight="1" x14ac:dyDescent="0.2">
      <c r="C529" s="14"/>
      <c r="U529" s="14"/>
      <c r="Z529" s="20"/>
    </row>
    <row r="530" spans="3:26" ht="15" customHeight="1" x14ac:dyDescent="0.2">
      <c r="C530" s="14"/>
      <c r="U530" s="14"/>
      <c r="Y530" s="26"/>
      <c r="Z530" s="20"/>
    </row>
    <row r="531" spans="3:26" ht="15" customHeight="1" x14ac:dyDescent="0.2">
      <c r="C531" s="14"/>
      <c r="U531" s="14"/>
      <c r="Z531" s="20"/>
    </row>
    <row r="532" spans="3:26" ht="15" customHeight="1" x14ac:dyDescent="0.2">
      <c r="C532" s="20"/>
      <c r="U532" s="14"/>
      <c r="Z532" s="20"/>
    </row>
    <row r="533" spans="3:26" ht="15" customHeight="1" x14ac:dyDescent="0.2">
      <c r="C533" s="14"/>
      <c r="U533" s="20"/>
      <c r="V533" s="20"/>
      <c r="Y533" s="22"/>
      <c r="Z533" s="20"/>
    </row>
    <row r="534" spans="3:26" ht="15" customHeight="1" x14ac:dyDescent="0.2">
      <c r="C534" s="20"/>
      <c r="U534" s="14"/>
      <c r="Z534" s="20"/>
    </row>
    <row r="535" spans="3:26" ht="15" customHeight="1" x14ac:dyDescent="0.2">
      <c r="C535" s="14"/>
      <c r="U535" s="14"/>
      <c r="Z535" s="20"/>
    </row>
    <row r="536" spans="3:26" ht="15" customHeight="1" x14ac:dyDescent="0.2">
      <c r="C536" s="20"/>
      <c r="U536" s="14"/>
      <c r="Z536" s="20"/>
    </row>
    <row r="537" spans="3:26" ht="15" customHeight="1" x14ac:dyDescent="0.2">
      <c r="C537" s="14"/>
      <c r="U537" s="20"/>
      <c r="V537" s="20"/>
      <c r="Z537" s="20"/>
    </row>
    <row r="538" spans="3:26" ht="15" customHeight="1" x14ac:dyDescent="0.2">
      <c r="C538" s="14"/>
      <c r="U538" s="20"/>
      <c r="V538" s="20"/>
      <c r="Z538" s="20"/>
    </row>
    <row r="539" spans="3:26" ht="15" customHeight="1" x14ac:dyDescent="0.2">
      <c r="C539" s="14"/>
      <c r="U539" s="14"/>
      <c r="Z539" s="20"/>
    </row>
    <row r="540" spans="3:26" ht="15" customHeight="1" x14ac:dyDescent="0.2">
      <c r="C540" s="14"/>
      <c r="U540" s="20"/>
      <c r="V540" s="20"/>
      <c r="Z540" s="20"/>
    </row>
    <row r="541" spans="3:26" ht="15" customHeight="1" x14ac:dyDescent="0.2">
      <c r="C541" s="14"/>
      <c r="U541" s="14"/>
      <c r="Z541" s="20"/>
    </row>
    <row r="542" spans="3:26" ht="15" customHeight="1" x14ac:dyDescent="0.2">
      <c r="C542" s="14"/>
      <c r="U542" s="14"/>
      <c r="Z542" s="20"/>
    </row>
    <row r="543" spans="3:26" ht="15" customHeight="1" x14ac:dyDescent="0.2">
      <c r="C543" s="14"/>
      <c r="U543" s="14"/>
      <c r="Z543" s="20"/>
    </row>
    <row r="544" spans="3:26" ht="15" customHeight="1" x14ac:dyDescent="0.2">
      <c r="C544" s="14"/>
      <c r="U544" s="14"/>
      <c r="Z544" s="20"/>
    </row>
    <row r="545" spans="3:26" ht="15" customHeight="1" x14ac:dyDescent="0.2">
      <c r="C545" s="14"/>
      <c r="U545" s="20"/>
      <c r="V545" s="20"/>
      <c r="Z545" s="20"/>
    </row>
    <row r="546" spans="3:26" ht="15" customHeight="1" x14ac:dyDescent="0.2">
      <c r="C546" s="14"/>
      <c r="U546" s="14"/>
      <c r="Z546" s="20"/>
    </row>
    <row r="547" spans="3:26" ht="15" customHeight="1" x14ac:dyDescent="0.2">
      <c r="C547" s="14"/>
      <c r="U547" s="14"/>
      <c r="Z547" s="20"/>
    </row>
    <row r="548" spans="3:26" ht="15" customHeight="1" x14ac:dyDescent="0.2">
      <c r="C548" s="14"/>
      <c r="U548" s="14"/>
      <c r="Z548" s="20"/>
    </row>
    <row r="549" spans="3:26" ht="15" customHeight="1" x14ac:dyDescent="0.2">
      <c r="C549" s="14"/>
      <c r="U549" s="14"/>
      <c r="Z549" s="20"/>
    </row>
    <row r="550" spans="3:26" ht="15" customHeight="1" x14ac:dyDescent="0.2">
      <c r="C550" s="14"/>
      <c r="U550" s="14"/>
      <c r="Z550" s="20"/>
    </row>
    <row r="551" spans="3:26" ht="15" customHeight="1" x14ac:dyDescent="0.2">
      <c r="C551" s="14"/>
      <c r="U551" s="14"/>
      <c r="Z551" s="20"/>
    </row>
    <row r="552" spans="3:26" ht="15" customHeight="1" x14ac:dyDescent="0.2">
      <c r="C552" s="14"/>
      <c r="L552" s="17"/>
      <c r="U552" s="14"/>
      <c r="Z552" s="20"/>
    </row>
    <row r="553" spans="3:26" ht="15" customHeight="1" x14ac:dyDescent="0.2">
      <c r="C553" s="14"/>
      <c r="U553" s="33"/>
      <c r="V553" s="20"/>
      <c r="Z553" s="20"/>
    </row>
    <row r="554" spans="3:26" ht="15" customHeight="1" x14ac:dyDescent="0.2">
      <c r="C554" s="20"/>
      <c r="U554" s="14"/>
      <c r="Z554" s="20"/>
    </row>
    <row r="555" spans="3:26" ht="15" customHeight="1" x14ac:dyDescent="0.2">
      <c r="C555" s="14"/>
      <c r="U555" s="14"/>
      <c r="Z555" s="20"/>
    </row>
    <row r="556" spans="3:26" ht="15" customHeight="1" x14ac:dyDescent="0.2">
      <c r="C556" s="14"/>
      <c r="U556" s="14"/>
      <c r="Z556" s="20"/>
    </row>
    <row r="557" spans="3:26" ht="15" customHeight="1" x14ac:dyDescent="0.2">
      <c r="C557" s="14"/>
      <c r="U557" s="14"/>
      <c r="Z557" s="20"/>
    </row>
    <row r="558" spans="3:26" ht="15" customHeight="1" x14ac:dyDescent="0.2">
      <c r="C558" s="14"/>
      <c r="U558" s="33"/>
      <c r="V558" s="20"/>
      <c r="Z558" s="20"/>
    </row>
    <row r="559" spans="3:26" ht="15" customHeight="1" x14ac:dyDescent="0.2">
      <c r="C559" s="14"/>
      <c r="U559" s="33"/>
      <c r="V559" s="20"/>
      <c r="Z559" s="20"/>
    </row>
    <row r="560" spans="3:26" ht="15" customHeight="1" x14ac:dyDescent="0.2">
      <c r="C560" s="14"/>
      <c r="U560" s="14"/>
      <c r="Z560" s="20"/>
    </row>
    <row r="561" spans="3:26" ht="30" customHeight="1" x14ac:dyDescent="0.2">
      <c r="C561" s="20"/>
      <c r="D561" s="20"/>
      <c r="U561" s="14"/>
      <c r="Z561" s="20"/>
    </row>
    <row r="562" spans="3:26" ht="15" customHeight="1" x14ac:dyDescent="0.2">
      <c r="C562" s="14"/>
      <c r="U562" s="14"/>
      <c r="Z562" s="20"/>
    </row>
    <row r="563" spans="3:26" ht="15" customHeight="1" x14ac:dyDescent="0.2">
      <c r="C563" s="14"/>
      <c r="U563" s="33"/>
      <c r="V563" s="20"/>
      <c r="Z563" s="20"/>
    </row>
    <row r="564" spans="3:26" ht="15" customHeight="1" x14ac:dyDescent="0.2">
      <c r="C564" s="14"/>
      <c r="U564" s="33"/>
      <c r="V564" s="20"/>
      <c r="Z564" s="20"/>
    </row>
    <row r="565" spans="3:26" ht="15" customHeight="1" x14ac:dyDescent="0.2">
      <c r="C565" s="14"/>
      <c r="U565" s="33"/>
      <c r="V565" s="20"/>
      <c r="Z565" s="20"/>
    </row>
    <row r="566" spans="3:26" ht="15" customHeight="1" x14ac:dyDescent="0.2">
      <c r="C566" s="20"/>
      <c r="D566" s="20"/>
      <c r="U566" s="33"/>
      <c r="V566" s="20"/>
      <c r="Z566" s="20"/>
    </row>
    <row r="567" spans="3:26" ht="15" customHeight="1" x14ac:dyDescent="0.2">
      <c r="C567" s="20"/>
      <c r="D567" s="20"/>
      <c r="U567" s="33"/>
      <c r="V567" s="20"/>
      <c r="Z567" s="20"/>
    </row>
    <row r="568" spans="3:26" ht="15" customHeight="1" x14ac:dyDescent="0.2">
      <c r="C568" s="14"/>
      <c r="U568" s="33"/>
      <c r="V568" s="20"/>
      <c r="Z568" s="20"/>
    </row>
    <row r="569" spans="3:26" ht="15" customHeight="1" x14ac:dyDescent="0.2">
      <c r="C569" s="14"/>
      <c r="U569" s="14"/>
      <c r="Z569" s="20"/>
    </row>
    <row r="570" spans="3:26" ht="15" customHeight="1" x14ac:dyDescent="0.2">
      <c r="C570" s="14"/>
      <c r="U570" s="14"/>
      <c r="Z570" s="20"/>
    </row>
    <row r="571" spans="3:26" ht="15" customHeight="1" x14ac:dyDescent="0.2">
      <c r="C571" s="14"/>
      <c r="U571" s="14"/>
      <c r="Z571" s="20"/>
    </row>
    <row r="572" spans="3:26" ht="15" customHeight="1" x14ac:dyDescent="0.2">
      <c r="C572" s="14"/>
      <c r="U572" s="20"/>
      <c r="V572" s="20"/>
      <c r="Z572" s="20"/>
    </row>
    <row r="573" spans="3:26" ht="15" customHeight="1" x14ac:dyDescent="0.2">
      <c r="C573" s="14"/>
      <c r="U573" s="20"/>
      <c r="V573" s="20"/>
      <c r="Z573" s="20"/>
    </row>
    <row r="574" spans="3:26" ht="15" customHeight="1" x14ac:dyDescent="0.2">
      <c r="C574" s="14"/>
      <c r="U574" s="14"/>
      <c r="Y574" s="22"/>
      <c r="Z574" s="20"/>
    </row>
    <row r="575" spans="3:26" ht="15" customHeight="1" x14ac:dyDescent="0.2">
      <c r="C575" s="14"/>
      <c r="U575" s="14"/>
      <c r="Z575" s="20"/>
    </row>
    <row r="576" spans="3:26" ht="15" customHeight="1" x14ac:dyDescent="0.2">
      <c r="C576" s="14"/>
      <c r="U576" s="14"/>
      <c r="Z576" s="20"/>
    </row>
    <row r="577" spans="3:26" ht="15" customHeight="1" x14ac:dyDescent="0.2">
      <c r="C577" s="14"/>
      <c r="U577" s="14"/>
      <c r="Y577" s="22"/>
      <c r="Z577" s="20"/>
    </row>
    <row r="578" spans="3:26" ht="15" customHeight="1" x14ac:dyDescent="0.2">
      <c r="C578" s="14"/>
      <c r="U578" s="14"/>
      <c r="Z578" s="20"/>
    </row>
    <row r="579" spans="3:26" ht="15" customHeight="1" x14ac:dyDescent="0.2">
      <c r="C579" s="14"/>
      <c r="U579" s="14"/>
      <c r="Z579" s="20"/>
    </row>
    <row r="580" spans="3:26" ht="15" customHeight="1" x14ac:dyDescent="0.2">
      <c r="C580" s="14"/>
      <c r="U580" s="14"/>
      <c r="Z580" s="20"/>
    </row>
    <row r="581" spans="3:26" ht="15" customHeight="1" x14ac:dyDescent="0.2">
      <c r="C581" s="14"/>
      <c r="U581" s="14"/>
      <c r="Y581" s="22"/>
      <c r="Z581" s="20"/>
    </row>
    <row r="582" spans="3:26" ht="15" customHeight="1" x14ac:dyDescent="0.2">
      <c r="C582" s="14"/>
      <c r="U582" s="14"/>
      <c r="Z582" s="20"/>
    </row>
    <row r="583" spans="3:26" ht="15" customHeight="1" x14ac:dyDescent="0.2">
      <c r="C583" s="14"/>
      <c r="U583" s="14"/>
      <c r="Z583" s="20"/>
    </row>
    <row r="584" spans="3:26" ht="15" customHeight="1" x14ac:dyDescent="0.2">
      <c r="C584" s="14"/>
      <c r="U584" s="14"/>
      <c r="Z584" s="20"/>
    </row>
    <row r="585" spans="3:26" ht="15" customHeight="1" x14ac:dyDescent="0.2">
      <c r="C585" s="14"/>
      <c r="U585" s="14"/>
      <c r="Z585" s="20"/>
    </row>
    <row r="586" spans="3:26" ht="15" customHeight="1" x14ac:dyDescent="0.2">
      <c r="C586" s="14"/>
      <c r="U586" s="20"/>
      <c r="V586" s="20"/>
      <c r="Z586" s="20"/>
    </row>
    <row r="587" spans="3:26" ht="15" customHeight="1" x14ac:dyDescent="0.2">
      <c r="C587" s="14"/>
      <c r="U587" s="20"/>
      <c r="V587" s="20"/>
      <c r="Z587" s="20"/>
    </row>
    <row r="588" spans="3:26" ht="15" customHeight="1" x14ac:dyDescent="0.2">
      <c r="C588" s="20"/>
      <c r="U588" s="14"/>
      <c r="Y588" s="26"/>
      <c r="Z588" s="20"/>
    </row>
    <row r="589" spans="3:26" ht="15" customHeight="1" x14ac:dyDescent="0.2">
      <c r="C589" s="14"/>
      <c r="U589" s="20"/>
      <c r="V589" s="20"/>
      <c r="Z589" s="20"/>
    </row>
    <row r="590" spans="3:26" ht="15" customHeight="1" x14ac:dyDescent="0.2">
      <c r="C590" s="14"/>
      <c r="U590" s="14"/>
      <c r="Z590" s="20"/>
    </row>
    <row r="591" spans="3:26" ht="15" customHeight="1" x14ac:dyDescent="0.2">
      <c r="C591" s="14"/>
      <c r="U591" s="14"/>
      <c r="Z591" s="20"/>
    </row>
    <row r="592" spans="3:26" ht="15" customHeight="1" x14ac:dyDescent="0.2">
      <c r="C592" s="14"/>
      <c r="G592" s="34"/>
      <c r="H592" s="34"/>
      <c r="U592" s="20"/>
      <c r="V592" s="20"/>
      <c r="Y592" s="26"/>
      <c r="Z592" s="20"/>
    </row>
    <row r="593" spans="3:26" ht="15" customHeight="1" x14ac:dyDescent="0.2">
      <c r="C593" s="14"/>
      <c r="U593" s="20"/>
      <c r="V593" s="20"/>
      <c r="Y593" s="22"/>
      <c r="Z593" s="20"/>
    </row>
    <row r="594" spans="3:26" ht="15" customHeight="1" x14ac:dyDescent="0.2">
      <c r="C594" s="14"/>
      <c r="U594" s="20"/>
      <c r="V594" s="20"/>
      <c r="Z594" s="20"/>
    </row>
    <row r="595" spans="3:26" ht="15" customHeight="1" x14ac:dyDescent="0.2">
      <c r="C595" s="14"/>
      <c r="R595" s="21"/>
      <c r="U595" s="20"/>
      <c r="V595" s="20"/>
      <c r="Y595" s="22"/>
      <c r="Z595" s="20"/>
    </row>
    <row r="596" spans="3:26" ht="15" customHeight="1" x14ac:dyDescent="0.2">
      <c r="C596" s="14"/>
      <c r="U596" s="20"/>
      <c r="V596" s="20"/>
      <c r="Z596" s="20"/>
    </row>
    <row r="597" spans="3:26" ht="15" customHeight="1" x14ac:dyDescent="0.2">
      <c r="C597" s="14"/>
      <c r="U597" s="14"/>
      <c r="Z597" s="20"/>
    </row>
    <row r="598" spans="3:26" ht="15" customHeight="1" x14ac:dyDescent="0.2">
      <c r="C598" s="14"/>
      <c r="U598" s="14"/>
      <c r="Z598" s="20"/>
    </row>
    <row r="599" spans="3:26" ht="15" customHeight="1" x14ac:dyDescent="0.2">
      <c r="C599" s="14"/>
      <c r="U599" s="14"/>
      <c r="Z599" s="20"/>
    </row>
    <row r="600" spans="3:26" ht="15" customHeight="1" x14ac:dyDescent="0.2">
      <c r="C600" s="14"/>
      <c r="U600" s="14"/>
      <c r="Z600" s="20"/>
    </row>
    <row r="601" spans="3:26" ht="15" customHeight="1" x14ac:dyDescent="0.2">
      <c r="C601" s="14"/>
      <c r="G601" s="16"/>
      <c r="I601" s="16"/>
      <c r="U601" s="20"/>
      <c r="V601" s="20"/>
      <c r="Y601" s="26"/>
      <c r="Z601" s="20"/>
    </row>
    <row r="602" spans="3:26" ht="15" customHeight="1" x14ac:dyDescent="0.2">
      <c r="C602" s="20"/>
      <c r="U602" s="14"/>
      <c r="Z602" s="20"/>
    </row>
    <row r="603" spans="3:26" ht="15" customHeight="1" x14ac:dyDescent="0.2">
      <c r="C603" s="20"/>
      <c r="U603" s="14"/>
      <c r="Z603" s="20"/>
    </row>
    <row r="604" spans="3:26" ht="14.25" customHeight="1" x14ac:dyDescent="0.2">
      <c r="C604" s="14"/>
      <c r="U604" s="20"/>
      <c r="V604" s="20"/>
      <c r="Z604" s="20"/>
    </row>
    <row r="605" spans="3:26" ht="15" customHeight="1" x14ac:dyDescent="0.2">
      <c r="C605" s="14"/>
      <c r="K605" s="35"/>
      <c r="U605" s="20"/>
      <c r="V605" s="20"/>
      <c r="Y605" s="26"/>
      <c r="Z605" s="20"/>
    </row>
    <row r="606" spans="3:26" ht="15" customHeight="1" x14ac:dyDescent="0.2">
      <c r="C606" s="14"/>
      <c r="U606" s="20"/>
      <c r="V606" s="20"/>
      <c r="Z606" s="20"/>
    </row>
    <row r="607" spans="3:26" ht="15" customHeight="1" x14ac:dyDescent="0.2">
      <c r="C607" s="14"/>
      <c r="U607" s="20"/>
      <c r="V607" s="20"/>
      <c r="Z607" s="20"/>
    </row>
    <row r="608" spans="3:26" ht="15" customHeight="1" x14ac:dyDescent="0.2">
      <c r="C608" s="14"/>
      <c r="U608" s="20"/>
      <c r="V608" s="20"/>
      <c r="Z608" s="20"/>
    </row>
    <row r="609" spans="3:26" ht="15" customHeight="1" x14ac:dyDescent="0.2">
      <c r="C609" s="14"/>
      <c r="U609" s="20"/>
      <c r="V609" s="20"/>
      <c r="Z609" s="20"/>
    </row>
    <row r="610" spans="3:26" ht="15" customHeight="1" x14ac:dyDescent="0.2">
      <c r="C610" s="14"/>
      <c r="U610" s="20"/>
      <c r="V610" s="20"/>
      <c r="Z610" s="20"/>
    </row>
    <row r="611" spans="3:26" ht="15" customHeight="1" x14ac:dyDescent="0.2">
      <c r="C611" s="14"/>
      <c r="U611" s="20"/>
      <c r="V611" s="20"/>
      <c r="Z611" s="20"/>
    </row>
    <row r="612" spans="3:26" ht="15" customHeight="1" x14ac:dyDescent="0.2">
      <c r="C612" s="14"/>
      <c r="U612" s="14"/>
      <c r="Z612" s="20"/>
    </row>
    <row r="613" spans="3:26" ht="15" customHeight="1" x14ac:dyDescent="0.2">
      <c r="C613" s="14"/>
      <c r="U613" s="14"/>
      <c r="Z613" s="20"/>
    </row>
    <row r="614" spans="3:26" ht="15" customHeight="1" x14ac:dyDescent="0.2">
      <c r="C614" s="14"/>
      <c r="U614" s="14"/>
      <c r="Z614" s="20"/>
    </row>
    <row r="615" spans="3:26" ht="15" customHeight="1" x14ac:dyDescent="0.2">
      <c r="C615" s="14"/>
      <c r="U615" s="14"/>
      <c r="Z615" s="20"/>
    </row>
    <row r="616" spans="3:26" ht="15" customHeight="1" x14ac:dyDescent="0.2">
      <c r="C616" s="14"/>
      <c r="U616" s="20"/>
      <c r="V616" s="20"/>
      <c r="Z616" s="20"/>
    </row>
    <row r="617" spans="3:26" ht="15" customHeight="1" x14ac:dyDescent="0.2">
      <c r="C617" s="20"/>
      <c r="U617" s="14"/>
      <c r="Z617" s="20"/>
    </row>
    <row r="618" spans="3:26" ht="15" customHeight="1" x14ac:dyDescent="0.2">
      <c r="C618" s="20"/>
      <c r="U618" s="14"/>
      <c r="Z618" s="20"/>
    </row>
    <row r="619" spans="3:26" ht="15" customHeight="1" x14ac:dyDescent="0.2">
      <c r="C619" s="20"/>
      <c r="U619" s="20"/>
      <c r="V619" s="20"/>
      <c r="Z619" s="20"/>
    </row>
    <row r="620" spans="3:26" ht="15" customHeight="1" x14ac:dyDescent="0.2">
      <c r="C620" s="14"/>
      <c r="U620" s="20"/>
      <c r="V620" s="20"/>
      <c r="Z620" s="20"/>
    </row>
    <row r="621" spans="3:26" ht="15" customHeight="1" x14ac:dyDescent="0.2">
      <c r="C621" s="14"/>
      <c r="U621" s="20"/>
      <c r="V621" s="20"/>
      <c r="Z621" s="20"/>
    </row>
    <row r="622" spans="3:26" ht="15" customHeight="1" x14ac:dyDescent="0.2">
      <c r="C622" s="14"/>
      <c r="U622" s="20"/>
      <c r="V622" s="20"/>
      <c r="Z622" s="20"/>
    </row>
    <row r="623" spans="3:26" ht="15" customHeight="1" x14ac:dyDescent="0.2">
      <c r="C623" s="14"/>
      <c r="U623" s="20"/>
      <c r="V623" s="20"/>
      <c r="Z623" s="20"/>
    </row>
    <row r="624" spans="3:26" ht="15" customHeight="1" x14ac:dyDescent="0.2">
      <c r="C624" s="14"/>
      <c r="I624" s="34"/>
      <c r="U624" s="20"/>
      <c r="V624" s="20"/>
      <c r="Z624" s="20"/>
    </row>
    <row r="625" spans="3:26" ht="15" customHeight="1" x14ac:dyDescent="0.2">
      <c r="C625" s="14"/>
      <c r="U625" s="14"/>
      <c r="Z625" s="20"/>
    </row>
    <row r="626" spans="3:26" ht="15" customHeight="1" x14ac:dyDescent="0.2">
      <c r="C626" s="14"/>
      <c r="U626" s="14"/>
      <c r="Z626" s="20"/>
    </row>
    <row r="627" spans="3:26" ht="15" customHeight="1" x14ac:dyDescent="0.2">
      <c r="C627" s="14"/>
      <c r="U627" s="20"/>
      <c r="V627" s="20"/>
      <c r="Z627" s="20"/>
    </row>
    <row r="628" spans="3:26" ht="15" customHeight="1" x14ac:dyDescent="0.2">
      <c r="C628" s="20"/>
      <c r="U628" s="14"/>
      <c r="Z628" s="20"/>
    </row>
    <row r="629" spans="3:26" ht="15" customHeight="1" x14ac:dyDescent="0.2">
      <c r="C629" s="14"/>
      <c r="U629" s="14"/>
      <c r="Z629" s="20"/>
    </row>
    <row r="630" spans="3:26" ht="15" customHeight="1" x14ac:dyDescent="0.2">
      <c r="C630" s="14"/>
      <c r="U630" s="14"/>
      <c r="Z630" s="20"/>
    </row>
    <row r="631" spans="3:26" ht="15" customHeight="1" x14ac:dyDescent="0.2">
      <c r="C631" s="14"/>
      <c r="P631" s="21"/>
      <c r="U631" s="20"/>
      <c r="V631" s="20"/>
      <c r="Z631" s="20"/>
    </row>
    <row r="632" spans="3:26" ht="15" customHeight="1" x14ac:dyDescent="0.2">
      <c r="C632" s="20"/>
      <c r="U632" s="14"/>
      <c r="Z632" s="20"/>
    </row>
    <row r="633" spans="3:26" ht="15" customHeight="1" x14ac:dyDescent="0.2">
      <c r="C633" s="14"/>
      <c r="U633" s="20"/>
      <c r="V633" s="20"/>
      <c r="Z633" s="20"/>
    </row>
    <row r="634" spans="3:26" ht="15" customHeight="1" x14ac:dyDescent="0.2">
      <c r="C634" s="14"/>
      <c r="U634" s="14"/>
      <c r="Z634" s="20"/>
    </row>
    <row r="635" spans="3:26" ht="15" customHeight="1" x14ac:dyDescent="0.2">
      <c r="C635" s="20"/>
      <c r="U635" s="14"/>
      <c r="Z635" s="20"/>
    </row>
    <row r="636" spans="3:26" ht="15" customHeight="1" x14ac:dyDescent="0.2">
      <c r="C636" s="14"/>
      <c r="U636" s="20"/>
      <c r="V636" s="20"/>
      <c r="Z636" s="20"/>
    </row>
    <row r="637" spans="3:26" ht="15" customHeight="1" x14ac:dyDescent="0.2">
      <c r="C637" s="14"/>
      <c r="U637" s="20"/>
      <c r="V637" s="20"/>
      <c r="Z637" s="20"/>
    </row>
    <row r="638" spans="3:26" ht="15" customHeight="1" x14ac:dyDescent="0.2">
      <c r="C638" s="14"/>
      <c r="U638" s="20"/>
      <c r="V638" s="20"/>
      <c r="Z638" s="20"/>
    </row>
    <row r="639" spans="3:26" ht="15" customHeight="1" x14ac:dyDescent="0.2">
      <c r="C639" s="14"/>
      <c r="U639" s="20"/>
      <c r="V639" s="20"/>
      <c r="Z639" s="20"/>
    </row>
    <row r="640" spans="3:26" ht="15" customHeight="1" x14ac:dyDescent="0.2">
      <c r="C640" s="14"/>
      <c r="U640" s="20"/>
      <c r="V640" s="20"/>
      <c r="Z640" s="20"/>
    </row>
    <row r="641" spans="3:26" ht="15" customHeight="1" x14ac:dyDescent="0.2">
      <c r="C641" s="14"/>
      <c r="U641" s="20"/>
      <c r="V641" s="20"/>
      <c r="Z641" s="20"/>
    </row>
    <row r="642" spans="3:26" ht="15" customHeight="1" x14ac:dyDescent="0.2">
      <c r="C642" s="14"/>
      <c r="U642" s="14"/>
      <c r="Z642" s="20"/>
    </row>
    <row r="643" spans="3:26" ht="15" customHeight="1" x14ac:dyDescent="0.2">
      <c r="C643" s="14"/>
      <c r="U643" s="14"/>
      <c r="Z643" s="20"/>
    </row>
    <row r="644" spans="3:26" ht="15" customHeight="1" x14ac:dyDescent="0.2">
      <c r="C644" s="14"/>
      <c r="U644" s="14"/>
      <c r="Z644" s="20"/>
    </row>
    <row r="645" spans="3:26" ht="15" customHeight="1" x14ac:dyDescent="0.2">
      <c r="C645" s="14"/>
      <c r="U645" s="20"/>
      <c r="V645" s="20"/>
      <c r="Z645" s="20"/>
    </row>
    <row r="646" spans="3:26" ht="15" customHeight="1" x14ac:dyDescent="0.2">
      <c r="C646" s="14"/>
      <c r="U646" s="14"/>
      <c r="Z646" s="20"/>
    </row>
    <row r="647" spans="3:26" ht="15" customHeight="1" x14ac:dyDescent="0.2">
      <c r="C647" s="14"/>
      <c r="U647" s="20"/>
      <c r="V647" s="20"/>
      <c r="Z647" s="20"/>
    </row>
    <row r="648" spans="3:26" ht="15" customHeight="1" x14ac:dyDescent="0.2">
      <c r="C648" s="14"/>
      <c r="U648" s="20"/>
      <c r="V648" s="20"/>
      <c r="Z648" s="20"/>
    </row>
    <row r="649" spans="3:26" ht="15" customHeight="1" x14ac:dyDescent="0.2">
      <c r="C649" s="14"/>
      <c r="T649" s="36"/>
      <c r="U649" s="20"/>
      <c r="V649" s="20"/>
      <c r="Z649" s="20"/>
    </row>
    <row r="650" spans="3:26" ht="15" customHeight="1" x14ac:dyDescent="0.2">
      <c r="C650" s="14"/>
      <c r="U650" s="14"/>
      <c r="Z650" s="20"/>
    </row>
    <row r="651" spans="3:26" ht="15" customHeight="1" x14ac:dyDescent="0.2">
      <c r="C651" s="14"/>
      <c r="U651" s="14"/>
      <c r="Z651" s="20"/>
    </row>
    <row r="652" spans="3:26" ht="15" customHeight="1" x14ac:dyDescent="0.2">
      <c r="C652" s="14"/>
      <c r="U652" s="14"/>
      <c r="Z652" s="20"/>
    </row>
    <row r="653" spans="3:26" ht="15" customHeight="1" x14ac:dyDescent="0.2">
      <c r="C653" s="14"/>
      <c r="U653" s="20"/>
      <c r="V653" s="20"/>
      <c r="Z653" s="20"/>
    </row>
    <row r="654" spans="3:26" ht="15" customHeight="1" x14ac:dyDescent="0.2">
      <c r="C654" s="14"/>
      <c r="U654" s="14"/>
      <c r="Z654" s="20"/>
    </row>
    <row r="655" spans="3:26" ht="15" customHeight="1" x14ac:dyDescent="0.2">
      <c r="C655" s="14"/>
      <c r="U655" s="20"/>
      <c r="V655" s="20"/>
      <c r="Z655" s="20"/>
    </row>
    <row r="656" spans="3:26" ht="15" customHeight="1" x14ac:dyDescent="0.2">
      <c r="C656" s="14"/>
      <c r="U656" s="20"/>
      <c r="V656" s="20"/>
      <c r="Z656" s="20"/>
    </row>
    <row r="657" spans="3:26" ht="15" customHeight="1" x14ac:dyDescent="0.2">
      <c r="C657" s="14"/>
      <c r="U657" s="20"/>
      <c r="V657" s="20"/>
      <c r="Z657" s="20"/>
    </row>
    <row r="658" spans="3:26" ht="15" customHeight="1" x14ac:dyDescent="0.2">
      <c r="C658" s="14"/>
      <c r="U658" s="20"/>
      <c r="V658" s="20"/>
      <c r="Z658" s="20"/>
    </row>
    <row r="659" spans="3:26" ht="15" customHeight="1" x14ac:dyDescent="0.2">
      <c r="C659" s="14"/>
      <c r="U659" s="14"/>
      <c r="Z659" s="20"/>
    </row>
    <row r="660" spans="3:26" ht="15" customHeight="1" x14ac:dyDescent="0.2">
      <c r="C660" s="14"/>
      <c r="U660" s="20"/>
      <c r="V660" s="20"/>
      <c r="Z660" s="20"/>
    </row>
    <row r="661" spans="3:26" ht="15" customHeight="1" x14ac:dyDescent="0.2">
      <c r="C661" s="14"/>
      <c r="U661" s="20"/>
      <c r="V661" s="20"/>
      <c r="Z661" s="20"/>
    </row>
    <row r="662" spans="3:26" ht="15" customHeight="1" x14ac:dyDescent="0.2">
      <c r="C662" s="14"/>
      <c r="U662" s="14"/>
      <c r="Y662" s="26"/>
      <c r="Z662" s="20"/>
    </row>
    <row r="663" spans="3:26" ht="14.25" customHeight="1" x14ac:dyDescent="0.2">
      <c r="C663" s="14"/>
      <c r="U663" s="14"/>
      <c r="Z663" s="20"/>
    </row>
    <row r="664" spans="3:26" ht="15" customHeight="1" x14ac:dyDescent="0.2">
      <c r="C664" s="14"/>
      <c r="U664" s="20"/>
      <c r="V664" s="20"/>
      <c r="Z664" s="20"/>
    </row>
    <row r="665" spans="3:26" ht="15" customHeight="1" x14ac:dyDescent="0.2">
      <c r="C665" s="14"/>
      <c r="U665" s="20"/>
      <c r="V665" s="20"/>
      <c r="Z665" s="20"/>
    </row>
    <row r="666" spans="3:26" ht="15" customHeight="1" x14ac:dyDescent="0.2">
      <c r="C666" s="14"/>
      <c r="G666" s="13"/>
      <c r="H666" s="13"/>
      <c r="U666" s="14"/>
      <c r="Z666" s="20"/>
    </row>
    <row r="667" spans="3:26" ht="15" customHeight="1" x14ac:dyDescent="0.2">
      <c r="C667" s="14"/>
      <c r="U667" s="20"/>
      <c r="V667" s="20"/>
      <c r="Z667" s="20"/>
    </row>
    <row r="668" spans="3:26" ht="15" customHeight="1" x14ac:dyDescent="0.2">
      <c r="C668" s="14"/>
      <c r="U668" s="14"/>
      <c r="Z668" s="20"/>
    </row>
    <row r="669" spans="3:26" ht="15" customHeight="1" x14ac:dyDescent="0.2">
      <c r="C669" s="14"/>
      <c r="U669" s="14"/>
      <c r="Z669" s="20"/>
    </row>
    <row r="670" spans="3:26" ht="15" customHeight="1" x14ac:dyDescent="0.2">
      <c r="C670" s="14"/>
      <c r="U670" s="14"/>
      <c r="Y670" s="26"/>
      <c r="Z670" s="20"/>
    </row>
    <row r="671" spans="3:26" ht="15" customHeight="1" x14ac:dyDescent="0.2">
      <c r="C671" s="14"/>
      <c r="U671" s="14"/>
      <c r="Z671" s="20"/>
    </row>
    <row r="672" spans="3:26" ht="15" customHeight="1" x14ac:dyDescent="0.2">
      <c r="C672" s="14"/>
      <c r="U672" s="20"/>
      <c r="V672" s="20"/>
      <c r="Z672" s="20"/>
    </row>
    <row r="673" spans="2:26" ht="15" customHeight="1" x14ac:dyDescent="0.2">
      <c r="C673" s="14"/>
      <c r="U673" s="20"/>
      <c r="V673" s="20"/>
      <c r="Z673" s="20"/>
    </row>
    <row r="674" spans="2:26" ht="15" customHeight="1" x14ac:dyDescent="0.2">
      <c r="C674" s="14"/>
      <c r="U674" s="20"/>
      <c r="V674" s="20"/>
      <c r="Z674" s="20"/>
    </row>
    <row r="675" spans="2:26" ht="15" customHeight="1" x14ac:dyDescent="0.2">
      <c r="C675" s="14"/>
      <c r="U675" s="14"/>
      <c r="Z675" s="20"/>
    </row>
    <row r="676" spans="2:26" ht="15" customHeight="1" x14ac:dyDescent="0.2">
      <c r="C676" s="14"/>
      <c r="U676" s="20"/>
      <c r="V676" s="20"/>
      <c r="Z676" s="20"/>
    </row>
    <row r="677" spans="2:26" ht="15" customHeight="1" x14ac:dyDescent="0.2">
      <c r="B677" s="13"/>
      <c r="C677" s="14"/>
      <c r="U677" s="20"/>
      <c r="V677" s="20"/>
      <c r="Z677" s="20"/>
    </row>
    <row r="678" spans="2:26" ht="15" customHeight="1" x14ac:dyDescent="0.2">
      <c r="C678" s="14"/>
      <c r="U678" s="14"/>
      <c r="Z678" s="20"/>
    </row>
    <row r="679" spans="2:26" ht="15" customHeight="1" x14ac:dyDescent="0.2">
      <c r="B679" s="13"/>
      <c r="C679" s="14"/>
      <c r="U679" s="20"/>
      <c r="V679" s="20"/>
      <c r="Z679" s="20"/>
    </row>
    <row r="680" spans="2:26" ht="15" customHeight="1" x14ac:dyDescent="0.2">
      <c r="C680" s="14"/>
      <c r="U680" s="14"/>
      <c r="Z680" s="20"/>
    </row>
    <row r="681" spans="2:26" ht="15" customHeight="1" x14ac:dyDescent="0.2">
      <c r="C681" s="14"/>
      <c r="V681" s="20"/>
      <c r="Z681" s="20"/>
    </row>
    <row r="682" spans="2:26" ht="15" customHeight="1" x14ac:dyDescent="0.2">
      <c r="C682" s="14"/>
      <c r="U682" s="20"/>
      <c r="V682" s="20"/>
      <c r="Z682" s="20"/>
    </row>
    <row r="683" spans="2:26" ht="15" customHeight="1" x14ac:dyDescent="0.2">
      <c r="C683" s="14"/>
      <c r="U683" s="20"/>
      <c r="V683" s="20"/>
      <c r="Z683" s="20"/>
    </row>
    <row r="684" spans="2:26" ht="15" customHeight="1" x14ac:dyDescent="0.2">
      <c r="C684" s="20"/>
      <c r="U684" s="20"/>
      <c r="V684" s="20"/>
      <c r="Z684" s="20"/>
    </row>
    <row r="685" spans="2:26" ht="15" customHeight="1" x14ac:dyDescent="0.2">
      <c r="C685" s="20"/>
      <c r="U685" s="20"/>
      <c r="V685" s="20"/>
      <c r="Z685" s="20"/>
    </row>
    <row r="686" spans="2:26" ht="15" customHeight="1" x14ac:dyDescent="0.2">
      <c r="C686" s="20"/>
      <c r="U686" s="14"/>
      <c r="Z686" s="20"/>
    </row>
    <row r="687" spans="2:26" ht="15" customHeight="1" x14ac:dyDescent="0.2">
      <c r="C687" s="20"/>
      <c r="U687" s="14"/>
      <c r="Z687" s="20"/>
    </row>
    <row r="688" spans="2:26" ht="15" customHeight="1" x14ac:dyDescent="0.2">
      <c r="C688" s="14"/>
      <c r="U688" s="14"/>
      <c r="Z688" s="20"/>
    </row>
    <row r="689" spans="3:26" ht="15" customHeight="1" x14ac:dyDescent="0.2">
      <c r="C689" s="20"/>
      <c r="U689" s="14"/>
      <c r="Z689" s="20"/>
    </row>
    <row r="690" spans="3:26" ht="15" customHeight="1" x14ac:dyDescent="0.2">
      <c r="C690" s="14"/>
      <c r="U690" s="14"/>
      <c r="Z690" s="20"/>
    </row>
    <row r="691" spans="3:26" ht="15" customHeight="1" x14ac:dyDescent="0.2">
      <c r="C691" s="14"/>
      <c r="U691" s="14"/>
      <c r="Z691" s="20"/>
    </row>
    <row r="692" spans="3:26" ht="15" customHeight="1" x14ac:dyDescent="0.2">
      <c r="C692" s="14"/>
      <c r="U692" s="14"/>
      <c r="Z692" s="20"/>
    </row>
    <row r="693" spans="3:26" ht="15" customHeight="1" x14ac:dyDescent="0.2">
      <c r="C693" s="14"/>
      <c r="U693" s="20"/>
      <c r="V693" s="20"/>
      <c r="Z693" s="20"/>
    </row>
    <row r="694" spans="3:26" ht="15" customHeight="1" x14ac:dyDescent="0.2">
      <c r="C694" s="14"/>
      <c r="U694" s="14"/>
      <c r="Z694" s="20"/>
    </row>
    <row r="695" spans="3:26" ht="15" customHeight="1" x14ac:dyDescent="0.2">
      <c r="C695" s="20"/>
      <c r="U695" s="14"/>
      <c r="Y695" s="22"/>
      <c r="Z695" s="20"/>
    </row>
    <row r="696" spans="3:26" ht="15" customHeight="1" x14ac:dyDescent="0.2">
      <c r="C696" s="14"/>
      <c r="U696" s="20"/>
      <c r="V696" s="20"/>
      <c r="Z696" s="20"/>
    </row>
    <row r="697" spans="3:26" ht="15" customHeight="1" x14ac:dyDescent="0.2">
      <c r="C697" s="14"/>
      <c r="U697" s="20"/>
      <c r="V697" s="20"/>
      <c r="Z697" s="20"/>
    </row>
    <row r="698" spans="3:26" ht="15" customHeight="1" x14ac:dyDescent="0.2">
      <c r="C698" s="14"/>
      <c r="U698" s="20"/>
      <c r="V698" s="20"/>
      <c r="Z698" s="20"/>
    </row>
    <row r="699" spans="3:26" ht="15" customHeight="1" x14ac:dyDescent="0.2">
      <c r="C699" s="14"/>
      <c r="U699" s="20"/>
      <c r="V699" s="20"/>
      <c r="Z699" s="20"/>
    </row>
    <row r="700" spans="3:26" ht="15" customHeight="1" x14ac:dyDescent="0.2">
      <c r="C700" s="14"/>
      <c r="U700" s="20"/>
      <c r="V700" s="20"/>
      <c r="Z700" s="20"/>
    </row>
    <row r="701" spans="3:26" ht="15" customHeight="1" x14ac:dyDescent="0.2">
      <c r="C701" s="20"/>
      <c r="U701" s="20"/>
      <c r="V701" s="20"/>
      <c r="Z701" s="20"/>
    </row>
    <row r="702" spans="3:26" ht="15" customHeight="1" x14ac:dyDescent="0.2">
      <c r="C702" s="14"/>
      <c r="U702" s="14"/>
      <c r="Z702" s="20"/>
    </row>
    <row r="703" spans="3:26" ht="15" customHeight="1" x14ac:dyDescent="0.2">
      <c r="C703" s="20"/>
      <c r="U703" s="14"/>
      <c r="Z703" s="20"/>
    </row>
    <row r="704" spans="3:26" ht="15" customHeight="1" x14ac:dyDescent="0.2">
      <c r="C704" s="20"/>
      <c r="U704" s="14"/>
      <c r="Z704" s="20"/>
    </row>
    <row r="705" spans="2:26" ht="15" customHeight="1" x14ac:dyDescent="0.2">
      <c r="C705" s="14"/>
      <c r="U705" s="20"/>
      <c r="V705" s="20"/>
      <c r="X705" s="83"/>
      <c r="Z705" s="20"/>
    </row>
    <row r="706" spans="2:26" ht="15" customHeight="1" x14ac:dyDescent="0.2">
      <c r="C706" s="14"/>
      <c r="U706" s="20"/>
      <c r="V706" s="20"/>
      <c r="X706" s="83"/>
      <c r="Z706" s="20"/>
    </row>
    <row r="707" spans="2:26" ht="15" customHeight="1" x14ac:dyDescent="0.2">
      <c r="C707" s="14"/>
      <c r="U707" s="20"/>
      <c r="V707" s="20"/>
      <c r="X707" s="83"/>
      <c r="Z707" s="20"/>
    </row>
    <row r="708" spans="2:26" ht="15" customHeight="1" x14ac:dyDescent="0.2">
      <c r="C708" s="14"/>
      <c r="U708" s="20"/>
      <c r="V708" s="20"/>
      <c r="X708" s="83"/>
      <c r="Z708" s="20"/>
    </row>
    <row r="709" spans="2:26" ht="15" customHeight="1" x14ac:dyDescent="0.2">
      <c r="C709" s="14"/>
      <c r="U709" s="20"/>
      <c r="V709" s="20"/>
      <c r="Z709" s="20"/>
    </row>
    <row r="710" spans="2:26" ht="15" customHeight="1" x14ac:dyDescent="0.2">
      <c r="B710" s="13"/>
      <c r="C710" s="14"/>
      <c r="U710" s="20"/>
      <c r="V710" s="20"/>
      <c r="Z710" s="20"/>
    </row>
    <row r="711" spans="2:26" ht="15" customHeight="1" x14ac:dyDescent="0.2">
      <c r="C711" s="14"/>
      <c r="U711" s="14"/>
      <c r="Z711" s="20"/>
    </row>
    <row r="712" spans="2:26" ht="15" customHeight="1" x14ac:dyDescent="0.2">
      <c r="B712" s="13"/>
      <c r="C712" s="14"/>
      <c r="U712" s="20"/>
      <c r="V712" s="20"/>
      <c r="Z712" s="20"/>
    </row>
    <row r="713" spans="2:26" ht="15" customHeight="1" x14ac:dyDescent="0.2">
      <c r="B713" s="13"/>
      <c r="C713" s="14"/>
      <c r="U713" s="20"/>
      <c r="V713" s="20"/>
      <c r="X713" s="83"/>
      <c r="Z713" s="20"/>
    </row>
    <row r="714" spans="2:26" ht="15" customHeight="1" x14ac:dyDescent="0.2">
      <c r="B714" s="13"/>
      <c r="C714" s="14"/>
      <c r="U714" s="20"/>
      <c r="V714" s="20"/>
      <c r="X714" s="83"/>
      <c r="Z714" s="20"/>
    </row>
    <row r="715" spans="2:26" ht="15" customHeight="1" x14ac:dyDescent="0.2">
      <c r="C715" s="14"/>
      <c r="U715" s="20"/>
      <c r="V715" s="20"/>
      <c r="Z715" s="20"/>
    </row>
    <row r="716" spans="2:26" ht="15" customHeight="1" x14ac:dyDescent="0.2">
      <c r="C716" s="14"/>
      <c r="U716" s="14"/>
      <c r="Z716" s="20"/>
    </row>
    <row r="717" spans="2:26" ht="15" customHeight="1" x14ac:dyDescent="0.2">
      <c r="C717" s="14"/>
      <c r="U717" s="14"/>
      <c r="Z717" s="20"/>
    </row>
    <row r="718" spans="2:26" ht="15" customHeight="1" x14ac:dyDescent="0.2">
      <c r="C718" s="20"/>
      <c r="U718" s="14"/>
      <c r="Z718" s="20"/>
    </row>
    <row r="719" spans="2:26" ht="15" customHeight="1" x14ac:dyDescent="0.2">
      <c r="C719" s="14"/>
      <c r="U719" s="20"/>
      <c r="V719" s="20"/>
      <c r="Z719" s="20"/>
    </row>
    <row r="720" spans="2:26" ht="15" customHeight="1" x14ac:dyDescent="0.2">
      <c r="C720" s="14"/>
      <c r="U720" s="20"/>
      <c r="V720" s="20"/>
      <c r="Y720" s="22"/>
      <c r="Z720" s="20"/>
    </row>
    <row r="721" spans="2:26" ht="15" customHeight="1" x14ac:dyDescent="0.2">
      <c r="C721" s="14"/>
      <c r="U721" s="14"/>
      <c r="Z721" s="20"/>
    </row>
    <row r="722" spans="2:26" ht="15" customHeight="1" x14ac:dyDescent="0.2">
      <c r="C722" s="14"/>
      <c r="U722" s="20"/>
      <c r="V722" s="20"/>
      <c r="X722" s="83"/>
      <c r="Z722" s="20"/>
    </row>
    <row r="723" spans="2:26" ht="15" customHeight="1" x14ac:dyDescent="0.2">
      <c r="C723" s="14"/>
      <c r="U723" s="20"/>
      <c r="V723" s="20"/>
      <c r="X723" s="83"/>
      <c r="Z723" s="20"/>
    </row>
    <row r="724" spans="2:26" ht="15" customHeight="1" x14ac:dyDescent="0.2">
      <c r="C724" s="14"/>
      <c r="U724" s="14"/>
      <c r="Z724" s="20"/>
    </row>
    <row r="725" spans="2:26" ht="15" customHeight="1" x14ac:dyDescent="0.2">
      <c r="C725" s="20"/>
      <c r="U725" s="14"/>
      <c r="Z725" s="20"/>
    </row>
    <row r="726" spans="2:26" ht="15" customHeight="1" x14ac:dyDescent="0.2">
      <c r="C726" s="20"/>
      <c r="U726" s="14"/>
      <c r="Z726" s="20"/>
    </row>
    <row r="727" spans="2:26" ht="15" customHeight="1" x14ac:dyDescent="0.2">
      <c r="C727" s="14"/>
      <c r="U727" s="14"/>
      <c r="Z727" s="20"/>
    </row>
    <row r="728" spans="2:26" ht="15" customHeight="1" x14ac:dyDescent="0.2">
      <c r="C728" s="14"/>
      <c r="U728" s="20"/>
      <c r="V728" s="20"/>
      <c r="Z728" s="20"/>
    </row>
    <row r="729" spans="2:26" ht="15" customHeight="1" x14ac:dyDescent="0.2">
      <c r="B729" s="13"/>
      <c r="C729" s="14"/>
      <c r="U729" s="20"/>
      <c r="V729" s="20"/>
      <c r="Z729" s="20"/>
    </row>
    <row r="730" spans="2:26" ht="15" customHeight="1" x14ac:dyDescent="0.2">
      <c r="C730" s="14"/>
      <c r="U730" s="20"/>
      <c r="V730" s="20"/>
      <c r="Z730" s="20"/>
    </row>
    <row r="731" spans="2:26" ht="15" customHeight="1" x14ac:dyDescent="0.2">
      <c r="C731" s="14"/>
      <c r="U731" s="20"/>
      <c r="V731" s="20"/>
      <c r="Y731" s="22"/>
      <c r="Z731" s="20"/>
    </row>
    <row r="732" spans="2:26" ht="15" customHeight="1" x14ac:dyDescent="0.2">
      <c r="C732" s="14"/>
      <c r="U732" s="14"/>
      <c r="Z732" s="20"/>
    </row>
    <row r="733" spans="2:26" ht="15" customHeight="1" x14ac:dyDescent="0.2">
      <c r="C733" s="14"/>
      <c r="U733" s="20"/>
      <c r="V733" s="20"/>
      <c r="Z733" s="20"/>
    </row>
    <row r="734" spans="2:26" ht="15" customHeight="1" x14ac:dyDescent="0.2">
      <c r="C734" s="14"/>
      <c r="U734" s="14"/>
      <c r="Z734" s="20"/>
    </row>
    <row r="735" spans="2:26" ht="15" customHeight="1" x14ac:dyDescent="0.2">
      <c r="C735" s="14"/>
      <c r="U735" s="14"/>
      <c r="Z735" s="20"/>
    </row>
    <row r="736" spans="2:26" ht="15" customHeight="1" x14ac:dyDescent="0.2">
      <c r="C736" s="14"/>
      <c r="U736" s="20"/>
      <c r="V736" s="20"/>
      <c r="X736" s="83"/>
      <c r="Z736" s="20"/>
    </row>
    <row r="737" spans="3:26" ht="15" customHeight="1" x14ac:dyDescent="0.2">
      <c r="C737" s="14"/>
      <c r="U737" s="20"/>
      <c r="V737" s="20"/>
      <c r="X737" s="83"/>
      <c r="Z737" s="20"/>
    </row>
    <row r="738" spans="3:26" ht="15" customHeight="1" x14ac:dyDescent="0.2">
      <c r="C738" s="14"/>
      <c r="U738" s="14"/>
      <c r="Z738" s="20"/>
    </row>
    <row r="739" spans="3:26" ht="15" customHeight="1" x14ac:dyDescent="0.2">
      <c r="C739" s="14"/>
      <c r="U739" s="20"/>
      <c r="V739" s="20"/>
      <c r="X739" s="83"/>
      <c r="Z739" s="20"/>
    </row>
    <row r="740" spans="3:26" ht="15" customHeight="1" x14ac:dyDescent="0.2">
      <c r="C740" s="14"/>
      <c r="U740" s="20"/>
      <c r="V740" s="20"/>
      <c r="X740" s="83"/>
      <c r="Z740" s="20"/>
    </row>
    <row r="741" spans="3:26" ht="15" customHeight="1" x14ac:dyDescent="0.2">
      <c r="C741" s="20"/>
      <c r="U741" s="14"/>
      <c r="Z741" s="20"/>
    </row>
    <row r="742" spans="3:26" ht="15" customHeight="1" x14ac:dyDescent="0.2">
      <c r="C742" s="14"/>
      <c r="U742" s="20"/>
      <c r="V742" s="20"/>
      <c r="Z742" s="20"/>
    </row>
    <row r="743" spans="3:26" ht="15" customHeight="1" x14ac:dyDescent="0.2">
      <c r="C743" s="14"/>
      <c r="U743" s="14"/>
      <c r="Z743" s="20"/>
    </row>
    <row r="744" spans="3:26" ht="15" customHeight="1" x14ac:dyDescent="0.2">
      <c r="C744" s="14"/>
      <c r="U744" s="14"/>
      <c r="Z744" s="20"/>
    </row>
    <row r="745" spans="3:26" ht="15" customHeight="1" x14ac:dyDescent="0.2">
      <c r="C745" s="14"/>
      <c r="U745" s="14"/>
      <c r="Z745" s="20"/>
    </row>
    <row r="746" spans="3:26" ht="15" customHeight="1" x14ac:dyDescent="0.2">
      <c r="C746" s="14"/>
      <c r="U746" s="14"/>
      <c r="Z746" s="20"/>
    </row>
    <row r="747" spans="3:26" ht="15" customHeight="1" x14ac:dyDescent="0.2">
      <c r="C747" s="14"/>
      <c r="U747" s="20"/>
      <c r="V747" s="20"/>
      <c r="Z747" s="20"/>
    </row>
    <row r="748" spans="3:26" ht="15" customHeight="1" x14ac:dyDescent="0.2">
      <c r="C748" s="14"/>
      <c r="U748" s="14"/>
      <c r="Z748" s="20"/>
    </row>
    <row r="749" spans="3:26" ht="15" customHeight="1" x14ac:dyDescent="0.2">
      <c r="C749" s="14"/>
      <c r="V749" s="20"/>
      <c r="Z749" s="20"/>
    </row>
    <row r="750" spans="3:26" ht="15" customHeight="1" x14ac:dyDescent="0.2">
      <c r="C750" s="14"/>
      <c r="U750" s="20"/>
      <c r="V750" s="20"/>
      <c r="Z750" s="20"/>
    </row>
    <row r="751" spans="3:26" ht="15" customHeight="1" x14ac:dyDescent="0.2">
      <c r="C751" s="14"/>
      <c r="U751" s="14"/>
      <c r="Z751" s="20"/>
    </row>
    <row r="752" spans="3:26" ht="15" customHeight="1" x14ac:dyDescent="0.2">
      <c r="C752" s="14"/>
      <c r="U752" s="20"/>
      <c r="V752" s="20"/>
      <c r="Z752" s="20"/>
    </row>
    <row r="753" spans="3:26" ht="15" customHeight="1" x14ac:dyDescent="0.2">
      <c r="C753" s="20"/>
      <c r="U753" s="14"/>
      <c r="Y753" s="22"/>
      <c r="Z753" s="20"/>
    </row>
    <row r="754" spans="3:26" ht="15" customHeight="1" x14ac:dyDescent="0.2">
      <c r="C754" s="14"/>
      <c r="U754" s="20"/>
      <c r="V754" s="20"/>
      <c r="Z754" s="20"/>
    </row>
    <row r="755" spans="3:26" ht="15" customHeight="1" x14ac:dyDescent="0.2">
      <c r="C755" s="14"/>
      <c r="U755" s="20"/>
      <c r="V755" s="20"/>
      <c r="Z755" s="20"/>
    </row>
    <row r="756" spans="3:26" ht="15" customHeight="1" x14ac:dyDescent="0.2">
      <c r="C756" s="14"/>
      <c r="U756" s="20"/>
      <c r="V756" s="20"/>
      <c r="Z756" s="20"/>
    </row>
    <row r="757" spans="3:26" ht="15" customHeight="1" x14ac:dyDescent="0.2">
      <c r="C757" s="14"/>
      <c r="U757" s="20"/>
      <c r="V757" s="20"/>
      <c r="Z757" s="20"/>
    </row>
    <row r="758" spans="3:26" ht="15" customHeight="1" x14ac:dyDescent="0.2">
      <c r="C758" s="14"/>
      <c r="U758" s="14"/>
      <c r="Z758" s="20"/>
    </row>
    <row r="759" spans="3:26" ht="15" customHeight="1" x14ac:dyDescent="0.2">
      <c r="C759" s="14"/>
      <c r="U759" s="14"/>
      <c r="Z759" s="20"/>
    </row>
    <row r="760" spans="3:26" ht="15" customHeight="1" x14ac:dyDescent="0.2">
      <c r="C760" s="14"/>
      <c r="U760" s="14"/>
      <c r="Z760" s="20"/>
    </row>
    <row r="761" spans="3:26" ht="15" customHeight="1" x14ac:dyDescent="0.2">
      <c r="C761" s="14"/>
      <c r="U761" s="20"/>
      <c r="V761" s="20"/>
      <c r="Y761" s="22"/>
      <c r="Z761" s="20"/>
    </row>
    <row r="762" spans="3:26" ht="15" customHeight="1" x14ac:dyDescent="0.2">
      <c r="C762" s="14"/>
      <c r="U762" s="14"/>
      <c r="Z762" s="20"/>
    </row>
    <row r="763" spans="3:26" ht="15" customHeight="1" x14ac:dyDescent="0.2">
      <c r="C763" s="14"/>
      <c r="U763" s="14"/>
      <c r="Z763" s="20"/>
    </row>
    <row r="764" spans="3:26" ht="15" customHeight="1" x14ac:dyDescent="0.2">
      <c r="C764" s="14"/>
      <c r="U764" s="20"/>
      <c r="V764" s="20"/>
      <c r="Y764" s="22"/>
      <c r="Z764" s="20"/>
    </row>
    <row r="765" spans="3:26" ht="15" customHeight="1" x14ac:dyDescent="0.2">
      <c r="C765" s="20"/>
      <c r="U765" s="14"/>
      <c r="Z765" s="20"/>
    </row>
    <row r="766" spans="3:26" ht="15" customHeight="1" x14ac:dyDescent="0.2">
      <c r="C766" s="14"/>
      <c r="U766" s="14"/>
      <c r="Z766" s="20"/>
    </row>
    <row r="767" spans="3:26" ht="15" customHeight="1" x14ac:dyDescent="0.2">
      <c r="C767" s="20"/>
      <c r="U767" s="14"/>
      <c r="Z767" s="20"/>
    </row>
    <row r="768" spans="3:26" ht="15" customHeight="1" x14ac:dyDescent="0.2">
      <c r="C768" s="14"/>
      <c r="U768" s="14"/>
      <c r="Z768" s="20"/>
    </row>
    <row r="769" spans="3:26" ht="15" customHeight="1" x14ac:dyDescent="0.2">
      <c r="C769" s="14"/>
      <c r="U769" s="20"/>
      <c r="V769" s="20"/>
      <c r="Z769" s="20"/>
    </row>
    <row r="770" spans="3:26" ht="15" customHeight="1" x14ac:dyDescent="0.2">
      <c r="C770" s="20"/>
      <c r="U770" s="14"/>
      <c r="Z770" s="20"/>
    </row>
    <row r="771" spans="3:26" ht="15" customHeight="1" x14ac:dyDescent="0.2">
      <c r="C771" s="14"/>
      <c r="P771" s="13"/>
      <c r="U771" s="14"/>
      <c r="Z771" s="20"/>
    </row>
    <row r="772" spans="3:26" ht="15" customHeight="1" x14ac:dyDescent="0.2">
      <c r="C772" s="14"/>
      <c r="P772" s="13"/>
      <c r="U772" s="14"/>
      <c r="Z772" s="20"/>
    </row>
    <row r="773" spans="3:26" ht="15" customHeight="1" x14ac:dyDescent="0.2">
      <c r="C773" s="14"/>
      <c r="P773" s="13"/>
      <c r="U773" s="14"/>
      <c r="Z773" s="20"/>
    </row>
    <row r="774" spans="3:26" ht="15" customHeight="1" x14ac:dyDescent="0.2">
      <c r="C774" s="14"/>
      <c r="P774" s="13"/>
      <c r="U774" s="20"/>
      <c r="V774" s="20"/>
      <c r="X774" s="83"/>
      <c r="Z774" s="20"/>
    </row>
    <row r="775" spans="3:26" ht="15" customHeight="1" x14ac:dyDescent="0.2">
      <c r="C775" s="14"/>
      <c r="P775" s="13"/>
      <c r="U775" s="20"/>
      <c r="V775" s="20"/>
      <c r="X775" s="83"/>
      <c r="Z775" s="20"/>
    </row>
    <row r="776" spans="3:26" ht="15" customHeight="1" x14ac:dyDescent="0.2">
      <c r="C776" s="14"/>
      <c r="P776" s="13"/>
      <c r="U776" s="14"/>
      <c r="Z776" s="20"/>
    </row>
    <row r="777" spans="3:26" ht="15" customHeight="1" x14ac:dyDescent="0.2">
      <c r="C777" s="14"/>
      <c r="P777" s="13"/>
      <c r="U777" s="14"/>
      <c r="Y777" s="22"/>
      <c r="Z777" s="20"/>
    </row>
    <row r="778" spans="3:26" ht="15" customHeight="1" x14ac:dyDescent="0.2">
      <c r="C778" s="14"/>
      <c r="P778" s="13"/>
      <c r="U778" s="20"/>
      <c r="V778" s="20"/>
      <c r="Y778" s="26"/>
      <c r="Z778" s="20"/>
    </row>
    <row r="779" spans="3:26" ht="15" customHeight="1" x14ac:dyDescent="0.2">
      <c r="C779" s="14"/>
      <c r="P779" s="13"/>
      <c r="U779" s="14"/>
      <c r="Z779" s="20"/>
    </row>
    <row r="780" spans="3:26" ht="15" customHeight="1" x14ac:dyDescent="0.2">
      <c r="C780" s="14"/>
      <c r="P780" s="13"/>
      <c r="U780" s="20"/>
      <c r="V780" s="20"/>
      <c r="Z780" s="20"/>
    </row>
    <row r="781" spans="3:26" ht="15" customHeight="1" x14ac:dyDescent="0.2">
      <c r="C781" s="14"/>
      <c r="P781" s="13"/>
      <c r="U781" s="20"/>
      <c r="V781" s="20"/>
      <c r="Z781" s="20"/>
    </row>
    <row r="782" spans="3:26" ht="15" customHeight="1" x14ac:dyDescent="0.2">
      <c r="C782" s="14"/>
      <c r="P782" s="13"/>
      <c r="U782" s="14"/>
      <c r="Z782" s="20"/>
    </row>
    <row r="783" spans="3:26" ht="15" customHeight="1" x14ac:dyDescent="0.2">
      <c r="C783" s="14"/>
      <c r="U783" s="20"/>
      <c r="V783" s="20"/>
      <c r="Z783" s="20"/>
    </row>
    <row r="784" spans="3:26" ht="15" customHeight="1" x14ac:dyDescent="0.2">
      <c r="C784" s="14"/>
      <c r="P784" s="13"/>
      <c r="U784" s="20"/>
      <c r="V784" s="20"/>
      <c r="Z784" s="20"/>
    </row>
    <row r="785" spans="3:26" ht="15" customHeight="1" x14ac:dyDescent="0.2">
      <c r="C785" s="14"/>
      <c r="P785" s="13"/>
      <c r="U785" s="20"/>
      <c r="V785" s="20"/>
      <c r="Y785" s="22"/>
      <c r="Z785" s="20"/>
    </row>
    <row r="786" spans="3:26" ht="15" customHeight="1" x14ac:dyDescent="0.2">
      <c r="C786" s="14"/>
      <c r="U786" s="20"/>
      <c r="V786" s="20"/>
      <c r="Z786" s="20"/>
    </row>
    <row r="787" spans="3:26" ht="15" customHeight="1" x14ac:dyDescent="0.2">
      <c r="C787" s="14"/>
      <c r="U787" s="20"/>
      <c r="V787" s="20"/>
      <c r="Z787" s="20"/>
    </row>
    <row r="788" spans="3:26" ht="15" customHeight="1" x14ac:dyDescent="0.2">
      <c r="C788" s="14"/>
      <c r="U788" s="20"/>
      <c r="V788" s="20"/>
      <c r="Z788" s="20"/>
    </row>
    <row r="789" spans="3:26" ht="15" customHeight="1" x14ac:dyDescent="0.2">
      <c r="C789" s="14"/>
      <c r="U789" s="20"/>
      <c r="V789" s="20"/>
      <c r="Z789" s="20"/>
    </row>
    <row r="790" spans="3:26" ht="15" customHeight="1" x14ac:dyDescent="0.2">
      <c r="C790" s="14"/>
      <c r="U790" s="20"/>
      <c r="V790" s="20"/>
      <c r="Z790" s="20"/>
    </row>
    <row r="791" spans="3:26" ht="15" customHeight="1" x14ac:dyDescent="0.2">
      <c r="C791" s="14"/>
      <c r="U791" s="20"/>
      <c r="V791" s="20"/>
      <c r="Z791" s="20"/>
    </row>
    <row r="792" spans="3:26" ht="15" customHeight="1" x14ac:dyDescent="0.2">
      <c r="C792" s="14"/>
      <c r="U792" s="20"/>
      <c r="V792" s="20"/>
      <c r="Z792" s="20"/>
    </row>
    <row r="793" spans="3:26" ht="15" customHeight="1" x14ac:dyDescent="0.2">
      <c r="C793" s="14"/>
      <c r="U793" s="14"/>
      <c r="Z793" s="20"/>
    </row>
    <row r="794" spans="3:26" ht="15" customHeight="1" x14ac:dyDescent="0.2">
      <c r="C794" s="14"/>
      <c r="G794" s="16"/>
      <c r="H794" s="16"/>
      <c r="U794" s="20"/>
      <c r="V794" s="20"/>
      <c r="Y794" s="26"/>
      <c r="Z794" s="20"/>
    </row>
    <row r="795" spans="3:26" ht="15" customHeight="1" x14ac:dyDescent="0.2">
      <c r="C795" s="14"/>
      <c r="G795" s="16"/>
      <c r="H795" s="16"/>
      <c r="U795" s="20"/>
      <c r="V795" s="20"/>
      <c r="Y795" s="26"/>
      <c r="Z795" s="20"/>
    </row>
    <row r="796" spans="3:26" ht="15" customHeight="1" x14ac:dyDescent="0.2">
      <c r="C796" s="14"/>
      <c r="U796" s="14"/>
      <c r="Z796" s="20"/>
    </row>
    <row r="797" spans="3:26" ht="15" customHeight="1" x14ac:dyDescent="0.2">
      <c r="C797" s="14"/>
      <c r="U797" s="14"/>
      <c r="Z797" s="20"/>
    </row>
    <row r="798" spans="3:26" ht="15" customHeight="1" x14ac:dyDescent="0.2">
      <c r="C798" s="14"/>
      <c r="U798" s="14"/>
      <c r="Z798" s="20"/>
    </row>
    <row r="799" spans="3:26" ht="15" customHeight="1" x14ac:dyDescent="0.2">
      <c r="C799" s="14"/>
      <c r="U799" s="14"/>
      <c r="Z799" s="20"/>
    </row>
    <row r="800" spans="3:26" ht="15" customHeight="1" x14ac:dyDescent="0.2">
      <c r="C800" s="14"/>
      <c r="U800" s="14"/>
      <c r="Z800" s="20"/>
    </row>
    <row r="801" spans="3:26" ht="15" customHeight="1" x14ac:dyDescent="0.2">
      <c r="C801" s="14"/>
      <c r="U801" s="14"/>
      <c r="Z801" s="20"/>
    </row>
    <row r="802" spans="3:26" ht="15" customHeight="1" x14ac:dyDescent="0.2">
      <c r="C802" s="14"/>
      <c r="U802" s="14"/>
      <c r="Z802" s="20"/>
    </row>
    <row r="803" spans="3:26" ht="15" customHeight="1" x14ac:dyDescent="0.2">
      <c r="C803" s="12"/>
      <c r="D803" s="13"/>
      <c r="E803" s="13"/>
      <c r="F803" s="13"/>
      <c r="G803" s="13"/>
      <c r="H803" s="13"/>
      <c r="I803" s="13"/>
      <c r="J803" s="13"/>
      <c r="K803" s="13"/>
      <c r="L803" s="13"/>
      <c r="P803" s="13"/>
      <c r="U803" s="20"/>
      <c r="V803" s="20"/>
      <c r="Y803" s="22"/>
      <c r="Z803" s="20"/>
    </row>
    <row r="804" spans="3:26" ht="15" customHeight="1" x14ac:dyDescent="0.2">
      <c r="C804" s="12"/>
      <c r="D804" s="13"/>
      <c r="E804" s="13"/>
      <c r="F804" s="13"/>
      <c r="G804" s="13"/>
      <c r="H804" s="13"/>
      <c r="I804" s="13"/>
      <c r="J804" s="13"/>
      <c r="K804" s="13"/>
      <c r="L804" s="13"/>
      <c r="P804" s="13"/>
      <c r="U804" s="14"/>
      <c r="Z804" s="20"/>
    </row>
    <row r="805" spans="3:26" ht="15" customHeight="1" x14ac:dyDescent="0.2">
      <c r="C805" s="12"/>
      <c r="D805" s="13"/>
      <c r="E805" s="13"/>
      <c r="F805" s="13"/>
      <c r="G805" s="13"/>
      <c r="H805" s="13"/>
      <c r="I805" s="13"/>
      <c r="J805" s="13"/>
      <c r="K805" s="13"/>
      <c r="L805" s="13"/>
      <c r="P805" s="13"/>
      <c r="U805" s="14"/>
      <c r="Z805" s="20"/>
    </row>
    <row r="806" spans="3:26" ht="15" customHeight="1" x14ac:dyDescent="0.2">
      <c r="C806" s="12"/>
      <c r="D806" s="13"/>
      <c r="E806" s="13"/>
      <c r="F806" s="13"/>
      <c r="G806" s="13"/>
      <c r="H806" s="13"/>
      <c r="I806" s="13"/>
      <c r="J806" s="13"/>
      <c r="K806" s="13"/>
      <c r="L806" s="13"/>
      <c r="P806" s="13"/>
      <c r="U806" s="14"/>
      <c r="Z806" s="20"/>
    </row>
    <row r="807" spans="3:26" ht="15" customHeight="1" x14ac:dyDescent="0.2">
      <c r="C807" s="12"/>
      <c r="D807" s="13"/>
      <c r="E807" s="13"/>
      <c r="F807" s="13"/>
      <c r="G807" s="13"/>
      <c r="H807" s="13"/>
      <c r="I807" s="13"/>
      <c r="J807" s="13"/>
      <c r="K807" s="13"/>
      <c r="L807" s="13"/>
      <c r="P807" s="13"/>
      <c r="U807" s="14"/>
      <c r="Z807" s="20"/>
    </row>
    <row r="808" spans="3:26" ht="15" customHeight="1" x14ac:dyDescent="0.2">
      <c r="C808" s="12"/>
      <c r="D808" s="13"/>
      <c r="E808" s="13"/>
      <c r="F808" s="13"/>
      <c r="G808" s="13"/>
      <c r="H808" s="13"/>
      <c r="I808" s="13"/>
      <c r="J808" s="13"/>
      <c r="K808" s="13"/>
      <c r="L808" s="13"/>
      <c r="P808" s="13"/>
      <c r="U808" s="14"/>
      <c r="Z808" s="20"/>
    </row>
    <row r="809" spans="3:26" ht="15" customHeight="1" x14ac:dyDescent="0.2">
      <c r="C809" s="12"/>
      <c r="D809" s="13"/>
      <c r="E809" s="13"/>
      <c r="F809" s="13"/>
      <c r="G809" s="13"/>
      <c r="H809" s="13"/>
      <c r="P809" s="13"/>
      <c r="U809" s="14"/>
      <c r="Z809" s="20"/>
    </row>
    <row r="810" spans="3:26" ht="15" customHeight="1" x14ac:dyDescent="0.2">
      <c r="C810" s="14"/>
      <c r="U810" s="20"/>
      <c r="V810" s="20"/>
      <c r="Z810" s="20"/>
    </row>
    <row r="811" spans="3:26" ht="15" customHeight="1" x14ac:dyDescent="0.2">
      <c r="C811" s="14"/>
      <c r="V811" s="20"/>
      <c r="Y811" s="22"/>
      <c r="Z811" s="20"/>
    </row>
    <row r="812" spans="3:26" ht="15" customHeight="1" x14ac:dyDescent="0.2">
      <c r="C812" s="14"/>
      <c r="U812" s="20"/>
      <c r="V812" s="20"/>
      <c r="Z812" s="20"/>
    </row>
    <row r="813" spans="3:26" ht="15" customHeight="1" x14ac:dyDescent="0.2">
      <c r="C813" s="14"/>
      <c r="U813" s="20"/>
      <c r="V813" s="20"/>
      <c r="Z813" s="20"/>
    </row>
    <row r="814" spans="3:26" ht="15" customHeight="1" x14ac:dyDescent="0.2">
      <c r="C814" s="14"/>
      <c r="U814" s="14"/>
      <c r="Z814" s="20"/>
    </row>
    <row r="815" spans="3:26" ht="15" customHeight="1" x14ac:dyDescent="0.2">
      <c r="C815" s="14"/>
      <c r="P815" s="13"/>
      <c r="U815" s="14"/>
      <c r="Z815" s="20"/>
    </row>
    <row r="816" spans="3:26" ht="15" customHeight="1" x14ac:dyDescent="0.2">
      <c r="C816" s="14"/>
      <c r="P816" s="13"/>
      <c r="U816" s="14"/>
      <c r="Z816" s="20"/>
    </row>
    <row r="817" spans="3:26" ht="15" customHeight="1" x14ac:dyDescent="0.2">
      <c r="C817" s="14"/>
      <c r="P817" s="13"/>
      <c r="U817" s="14"/>
      <c r="Z817" s="20"/>
    </row>
    <row r="818" spans="3:26" ht="15" customHeight="1" x14ac:dyDescent="0.2">
      <c r="C818" s="14"/>
      <c r="U818" s="20"/>
      <c r="V818" s="20"/>
      <c r="Z818" s="20"/>
    </row>
    <row r="819" spans="3:26" ht="15" customHeight="1" x14ac:dyDescent="0.2">
      <c r="C819" s="14"/>
      <c r="U819" s="20"/>
      <c r="V819" s="20"/>
      <c r="Z819" s="20"/>
    </row>
    <row r="820" spans="3:26" ht="15" customHeight="1" x14ac:dyDescent="0.2">
      <c r="C820" s="14"/>
      <c r="U820" s="20"/>
      <c r="V820" s="20"/>
      <c r="X820" s="83"/>
      <c r="Z820" s="20"/>
    </row>
    <row r="821" spans="3:26" ht="15" customHeight="1" x14ac:dyDescent="0.2">
      <c r="C821" s="14"/>
      <c r="U821" s="20"/>
      <c r="V821" s="20"/>
      <c r="X821" s="83"/>
      <c r="Z821" s="20"/>
    </row>
    <row r="822" spans="3:26" ht="15" customHeight="1" x14ac:dyDescent="0.2">
      <c r="C822" s="14"/>
      <c r="U822" s="14"/>
      <c r="Y822" s="22"/>
      <c r="Z822" s="20"/>
    </row>
    <row r="823" spans="3:26" ht="15" customHeight="1" x14ac:dyDescent="0.2">
      <c r="C823" s="14"/>
      <c r="U823" s="20"/>
      <c r="V823" s="20"/>
      <c r="Z823" s="20"/>
    </row>
    <row r="824" spans="3:26" ht="15" customHeight="1" x14ac:dyDescent="0.2">
      <c r="C824" s="14"/>
      <c r="U824" s="14"/>
      <c r="Z824" s="20"/>
    </row>
    <row r="825" spans="3:26" ht="15" customHeight="1" x14ac:dyDescent="0.2">
      <c r="C825" s="20"/>
      <c r="U825" s="14"/>
      <c r="Z825" s="20"/>
    </row>
    <row r="826" spans="3:26" ht="15" customHeight="1" x14ac:dyDescent="0.2">
      <c r="C826" s="20"/>
      <c r="U826" s="14"/>
      <c r="Y826" s="22"/>
      <c r="Z826" s="20"/>
    </row>
    <row r="827" spans="3:26" ht="15" customHeight="1" x14ac:dyDescent="0.2">
      <c r="C827" s="14"/>
      <c r="U827" s="14"/>
      <c r="Z827" s="20"/>
    </row>
    <row r="828" spans="3:26" ht="15" customHeight="1" x14ac:dyDescent="0.2">
      <c r="C828" s="14"/>
      <c r="U828" s="14"/>
      <c r="Z828" s="20"/>
    </row>
    <row r="829" spans="3:26" ht="15" customHeight="1" x14ac:dyDescent="0.2">
      <c r="C829" s="14"/>
      <c r="U829" s="14"/>
      <c r="Z829" s="20"/>
    </row>
    <row r="830" spans="3:26" ht="15" customHeight="1" x14ac:dyDescent="0.2">
      <c r="C830" s="14"/>
      <c r="U830" s="14"/>
      <c r="Z830" s="20"/>
    </row>
    <row r="831" spans="3:26" ht="15" customHeight="1" x14ac:dyDescent="0.2">
      <c r="C831" s="14"/>
      <c r="U831" s="20"/>
      <c r="V831" s="20"/>
      <c r="Y831" s="22"/>
      <c r="Z831" s="20"/>
    </row>
    <row r="832" spans="3:26" ht="15" customHeight="1" x14ac:dyDescent="0.2">
      <c r="C832" s="14"/>
      <c r="U832" s="14"/>
      <c r="Z832" s="20"/>
    </row>
    <row r="833" spans="3:26" ht="15" customHeight="1" x14ac:dyDescent="0.2">
      <c r="C833" s="20"/>
      <c r="U833" s="14"/>
      <c r="Z833" s="20"/>
    </row>
    <row r="834" spans="3:26" ht="15" customHeight="1" x14ac:dyDescent="0.2">
      <c r="C834" s="14"/>
      <c r="T834" s="36"/>
      <c r="U834" s="33"/>
      <c r="V834" s="20"/>
      <c r="Z834" s="20"/>
    </row>
    <row r="835" spans="3:26" ht="15" customHeight="1" x14ac:dyDescent="0.2">
      <c r="C835" s="14"/>
      <c r="U835" s="14"/>
      <c r="Z835" s="20"/>
    </row>
    <row r="836" spans="3:26" ht="15" customHeight="1" x14ac:dyDescent="0.2">
      <c r="C836" s="14"/>
      <c r="U836" s="14"/>
      <c r="Z836" s="20"/>
    </row>
    <row r="837" spans="3:26" ht="15" customHeight="1" x14ac:dyDescent="0.2">
      <c r="C837" s="14"/>
      <c r="U837" s="14"/>
      <c r="Z837" s="20"/>
    </row>
    <row r="838" spans="3:26" ht="15" customHeight="1" x14ac:dyDescent="0.2">
      <c r="C838" s="20"/>
      <c r="U838" s="14"/>
      <c r="Z838" s="20"/>
    </row>
    <row r="839" spans="3:26" ht="15" customHeight="1" x14ac:dyDescent="0.2">
      <c r="C839" s="14"/>
      <c r="U839" s="14"/>
      <c r="Z839" s="20"/>
    </row>
    <row r="840" spans="3:26" ht="15" customHeight="1" x14ac:dyDescent="0.2">
      <c r="C840" s="14"/>
      <c r="U840" s="20"/>
      <c r="V840" s="20"/>
      <c r="Y840" s="22"/>
      <c r="Z840" s="20"/>
    </row>
    <row r="841" spans="3:26" ht="15" customHeight="1" x14ac:dyDescent="0.2">
      <c r="C841" s="14"/>
      <c r="U841" s="20"/>
      <c r="V841" s="20"/>
      <c r="Z841" s="20"/>
    </row>
    <row r="842" spans="3:26" ht="15" customHeight="1" x14ac:dyDescent="0.2">
      <c r="C842" s="14"/>
      <c r="U842" s="14"/>
      <c r="Y842" s="26"/>
      <c r="Z842" s="20"/>
    </row>
    <row r="843" spans="3:26" ht="15" customHeight="1" x14ac:dyDescent="0.2">
      <c r="C843" s="14"/>
      <c r="U843" s="14"/>
      <c r="Z843" s="20"/>
    </row>
    <row r="844" spans="3:26" ht="15" customHeight="1" x14ac:dyDescent="0.2">
      <c r="C844" s="37"/>
      <c r="D844" s="38"/>
      <c r="E844" s="38"/>
      <c r="F844" s="38"/>
      <c r="I844" s="38"/>
      <c r="J844" s="38"/>
      <c r="K844" s="38"/>
      <c r="L844" s="38"/>
      <c r="U844" s="20"/>
      <c r="V844" s="20"/>
      <c r="Y844" s="26"/>
      <c r="Z844" s="20"/>
    </row>
    <row r="845" spans="3:26" ht="15" customHeight="1" x14ac:dyDescent="0.2">
      <c r="C845" s="14"/>
      <c r="U845" s="14"/>
      <c r="Z845" s="20"/>
    </row>
    <row r="846" spans="3:26" ht="15" customHeight="1" x14ac:dyDescent="0.2">
      <c r="C846" s="14"/>
      <c r="U846" s="14"/>
      <c r="V846" s="20"/>
      <c r="Y846" s="26"/>
      <c r="Z846" s="20"/>
    </row>
    <row r="847" spans="3:26" ht="15" customHeight="1" x14ac:dyDescent="0.2">
      <c r="C847" s="14"/>
      <c r="R847" s="21"/>
      <c r="U847" s="20"/>
      <c r="V847" s="20"/>
      <c r="Z847" s="20"/>
    </row>
    <row r="848" spans="3:26" ht="15" customHeight="1" x14ac:dyDescent="0.2">
      <c r="C848" s="14"/>
      <c r="R848" s="21"/>
      <c r="U848" s="20"/>
      <c r="V848" s="20"/>
      <c r="Z848" s="20"/>
    </row>
    <row r="849" spans="3:26" ht="15" customHeight="1" x14ac:dyDescent="0.2">
      <c r="C849" s="14"/>
      <c r="R849" s="21"/>
      <c r="U849" s="20"/>
      <c r="V849" s="20"/>
      <c r="Z849" s="20"/>
    </row>
    <row r="850" spans="3:26" ht="15" customHeight="1" x14ac:dyDescent="0.2">
      <c r="C850" s="14"/>
      <c r="R850" s="21"/>
      <c r="U850" s="20"/>
      <c r="V850" s="20"/>
      <c r="Z850" s="20"/>
    </row>
    <row r="851" spans="3:26" ht="15" customHeight="1" x14ac:dyDescent="0.2">
      <c r="C851" s="14"/>
      <c r="R851" s="21"/>
      <c r="U851" s="20"/>
      <c r="V851" s="20"/>
      <c r="Z851" s="20"/>
    </row>
    <row r="852" spans="3:26" ht="15" customHeight="1" x14ac:dyDescent="0.2">
      <c r="C852" s="14"/>
      <c r="R852" s="21"/>
      <c r="U852" s="20"/>
      <c r="V852" s="20"/>
      <c r="Z852" s="20"/>
    </row>
    <row r="853" spans="3:26" ht="15" customHeight="1" x14ac:dyDescent="0.2">
      <c r="C853" s="14"/>
      <c r="U853" s="20"/>
      <c r="V853" s="20"/>
      <c r="Z853" s="20"/>
    </row>
    <row r="854" spans="3:26" ht="15" customHeight="1" x14ac:dyDescent="0.2">
      <c r="C854" s="14"/>
      <c r="U854" s="20"/>
      <c r="V854" s="20"/>
      <c r="Z854" s="20"/>
    </row>
    <row r="855" spans="3:26" ht="15" customHeight="1" x14ac:dyDescent="0.2">
      <c r="C855" s="14"/>
      <c r="U855" s="20"/>
      <c r="V855" s="20"/>
      <c r="Z855" s="20"/>
    </row>
    <row r="856" spans="3:26" ht="15" customHeight="1" x14ac:dyDescent="0.2">
      <c r="C856" s="14"/>
      <c r="U856" s="14"/>
      <c r="Z856" s="20"/>
    </row>
    <row r="857" spans="3:26" ht="15" customHeight="1" x14ac:dyDescent="0.2">
      <c r="C857" s="14"/>
      <c r="R857" s="21"/>
      <c r="U857" s="20"/>
      <c r="V857" s="20"/>
      <c r="Z857" s="20"/>
    </row>
    <row r="858" spans="3:26" ht="15" customHeight="1" x14ac:dyDescent="0.2">
      <c r="C858" s="14"/>
      <c r="R858" s="21"/>
      <c r="U858" s="20"/>
      <c r="V858" s="20"/>
      <c r="Z858" s="20"/>
    </row>
    <row r="859" spans="3:26" ht="15" customHeight="1" x14ac:dyDescent="0.2">
      <c r="C859" s="14"/>
      <c r="U859" s="14"/>
      <c r="Z859" s="20"/>
    </row>
    <row r="860" spans="3:26" ht="15" customHeight="1" x14ac:dyDescent="0.2">
      <c r="C860" s="14"/>
      <c r="U860" s="20"/>
      <c r="V860" s="20"/>
      <c r="Z860" s="20"/>
    </row>
    <row r="861" spans="3:26" ht="15" customHeight="1" x14ac:dyDescent="0.2">
      <c r="C861" s="14"/>
      <c r="U861" s="20"/>
      <c r="V861" s="20"/>
      <c r="Z861" s="20"/>
    </row>
    <row r="862" spans="3:26" ht="15" customHeight="1" x14ac:dyDescent="0.2">
      <c r="C862" s="14"/>
      <c r="U862" s="14"/>
      <c r="Z862" s="20"/>
    </row>
    <row r="863" spans="3:26" ht="15" customHeight="1" x14ac:dyDescent="0.2">
      <c r="C863" s="14"/>
      <c r="U863" s="14"/>
      <c r="Z863" s="20"/>
    </row>
    <row r="864" spans="3:26" ht="15" customHeight="1" x14ac:dyDescent="0.2">
      <c r="C864" s="14"/>
      <c r="U864" s="20"/>
      <c r="V864" s="20"/>
      <c r="X864" s="83"/>
      <c r="Z864" s="20"/>
    </row>
    <row r="865" spans="3:26" ht="15" customHeight="1" x14ac:dyDescent="0.2">
      <c r="C865" s="20"/>
      <c r="X865" s="83"/>
      <c r="Z865" s="20"/>
    </row>
    <row r="866" spans="3:26" ht="15" customHeight="1" x14ac:dyDescent="0.2">
      <c r="C866" s="14"/>
      <c r="P866" s="13"/>
      <c r="U866" s="20"/>
      <c r="V866" s="20"/>
      <c r="Z866" s="20"/>
    </row>
    <row r="867" spans="3:26" ht="15" customHeight="1" x14ac:dyDescent="0.2">
      <c r="C867" s="14"/>
      <c r="P867" s="13"/>
      <c r="U867" s="20"/>
      <c r="V867" s="20"/>
      <c r="Z867" s="20"/>
    </row>
    <row r="868" spans="3:26" ht="15" customHeight="1" x14ac:dyDescent="0.2">
      <c r="C868" s="20"/>
      <c r="P868" s="13"/>
      <c r="U868" s="14"/>
      <c r="Z868" s="20"/>
    </row>
    <row r="869" spans="3:26" ht="15" customHeight="1" x14ac:dyDescent="0.2">
      <c r="C869" s="14"/>
      <c r="P869" s="13"/>
      <c r="U869" s="14"/>
      <c r="Z869" s="20"/>
    </row>
    <row r="870" spans="3:26" ht="15" customHeight="1" x14ac:dyDescent="0.2">
      <c r="C870" s="14"/>
      <c r="U870" s="14"/>
      <c r="Z870" s="20"/>
    </row>
    <row r="871" spans="3:26" ht="15" customHeight="1" x14ac:dyDescent="0.2">
      <c r="C871" s="14"/>
      <c r="U871" s="20"/>
      <c r="V871" s="20"/>
      <c r="Z871" s="20"/>
    </row>
    <row r="872" spans="3:26" ht="15" customHeight="1" x14ac:dyDescent="0.2">
      <c r="C872" s="14"/>
      <c r="U872" s="14"/>
      <c r="V872" s="20"/>
      <c r="Y872" s="26"/>
      <c r="Z872" s="20"/>
    </row>
    <row r="873" spans="3:26" ht="15" customHeight="1" x14ac:dyDescent="0.2">
      <c r="C873" s="14"/>
      <c r="U873" s="14"/>
      <c r="Z873" s="20"/>
    </row>
    <row r="874" spans="3:26" ht="15" customHeight="1" x14ac:dyDescent="0.2">
      <c r="C874" s="14"/>
      <c r="U874" s="14"/>
      <c r="Z874" s="20"/>
    </row>
    <row r="875" spans="3:26" ht="15" customHeight="1" x14ac:dyDescent="0.2">
      <c r="C875" s="14"/>
      <c r="U875" s="20"/>
      <c r="V875" s="20"/>
      <c r="Y875" s="26"/>
      <c r="Z875" s="20"/>
    </row>
    <row r="876" spans="3:26" ht="15" customHeight="1" x14ac:dyDescent="0.2">
      <c r="C876" s="14"/>
      <c r="U876" s="20"/>
      <c r="V876" s="20"/>
      <c r="Z876" s="20"/>
    </row>
    <row r="877" spans="3:26" ht="15" customHeight="1" x14ac:dyDescent="0.2">
      <c r="C877" s="14"/>
      <c r="U877" s="14"/>
      <c r="Z877" s="20"/>
    </row>
    <row r="878" spans="3:26" ht="15" customHeight="1" x14ac:dyDescent="0.2">
      <c r="C878" s="20"/>
      <c r="U878" s="14"/>
      <c r="Y878" s="22"/>
      <c r="Z878" s="20"/>
    </row>
    <row r="879" spans="3:26" ht="15" customHeight="1" x14ac:dyDescent="0.2">
      <c r="C879" s="20"/>
      <c r="U879" s="14"/>
      <c r="Z879" s="20"/>
    </row>
    <row r="880" spans="3:26" ht="30" customHeight="1" x14ac:dyDescent="0.2">
      <c r="C880" s="14"/>
      <c r="U880" s="14"/>
      <c r="Z880" s="20"/>
    </row>
    <row r="881" spans="3:26" ht="15" customHeight="1" x14ac:dyDescent="0.2">
      <c r="C881" s="20"/>
      <c r="U881" s="14"/>
      <c r="Z881" s="20"/>
    </row>
    <row r="882" spans="3:26" ht="15" customHeight="1" x14ac:dyDescent="0.2">
      <c r="C882" s="20"/>
      <c r="U882" s="14"/>
      <c r="Z882" s="20"/>
    </row>
    <row r="883" spans="3:26" ht="15" customHeight="1" x14ac:dyDescent="0.2">
      <c r="C883" s="14"/>
      <c r="U883" s="14"/>
      <c r="Z883" s="20"/>
    </row>
    <row r="884" spans="3:26" ht="15" customHeight="1" x14ac:dyDescent="0.2">
      <c r="C884" s="14"/>
      <c r="U884" s="14"/>
      <c r="Z884" s="20"/>
    </row>
    <row r="885" spans="3:26" ht="15" customHeight="1" x14ac:dyDescent="0.2">
      <c r="C885" s="14"/>
      <c r="U885" s="20"/>
      <c r="V885" s="20"/>
      <c r="X885" s="83"/>
      <c r="Z885" s="20"/>
    </row>
    <row r="886" spans="3:26" ht="15" customHeight="1" x14ac:dyDescent="0.2">
      <c r="C886" s="14"/>
      <c r="U886" s="20"/>
      <c r="V886" s="20"/>
      <c r="X886" s="83"/>
      <c r="Z886" s="20"/>
    </row>
    <row r="887" spans="3:26" ht="15" customHeight="1" x14ac:dyDescent="0.2">
      <c r="C887" s="14"/>
      <c r="P887" s="13"/>
      <c r="T887" s="36"/>
      <c r="U887" s="20"/>
      <c r="V887" s="20"/>
      <c r="Z887" s="20"/>
    </row>
    <row r="888" spans="3:26" ht="15" customHeight="1" x14ac:dyDescent="0.2">
      <c r="C888" s="14"/>
      <c r="U888" s="14"/>
      <c r="Z888" s="20"/>
    </row>
    <row r="889" spans="3:26" ht="15" customHeight="1" x14ac:dyDescent="0.2">
      <c r="C889" s="14"/>
      <c r="D889" s="13"/>
      <c r="E889" s="13"/>
      <c r="F889" s="13"/>
      <c r="H889" s="13"/>
      <c r="P889" s="13"/>
      <c r="U889" s="14"/>
      <c r="Z889" s="20"/>
    </row>
    <row r="890" spans="3:26" ht="15" customHeight="1" x14ac:dyDescent="0.2">
      <c r="C890" s="14"/>
      <c r="P890" s="13"/>
      <c r="U890" s="14"/>
      <c r="Z890" s="20"/>
    </row>
    <row r="891" spans="3:26" ht="15" customHeight="1" x14ac:dyDescent="0.2">
      <c r="C891" s="14"/>
      <c r="U891" s="20"/>
      <c r="V891" s="20"/>
      <c r="Z891" s="20"/>
    </row>
    <row r="892" spans="3:26" ht="15" customHeight="1" x14ac:dyDescent="0.2">
      <c r="C892" s="14"/>
      <c r="U892" s="14"/>
      <c r="Z892" s="20"/>
    </row>
    <row r="893" spans="3:26" ht="15" customHeight="1" x14ac:dyDescent="0.2">
      <c r="C893" s="14"/>
      <c r="U893" s="20"/>
      <c r="V893" s="20"/>
      <c r="Z893" s="20"/>
    </row>
    <row r="894" spans="3:26" ht="15" customHeight="1" x14ac:dyDescent="0.2">
      <c r="C894" s="14"/>
      <c r="U894" s="20"/>
      <c r="V894" s="20"/>
      <c r="Y894" s="22"/>
      <c r="Z894" s="20"/>
    </row>
    <row r="895" spans="3:26" ht="15" customHeight="1" x14ac:dyDescent="0.2">
      <c r="C895" s="14"/>
      <c r="U895" s="14"/>
      <c r="Z895" s="20"/>
    </row>
    <row r="896" spans="3:26" ht="13.5" customHeight="1" x14ac:dyDescent="0.2">
      <c r="C896" s="14"/>
      <c r="T896" s="36"/>
      <c r="U896" s="20"/>
      <c r="V896" s="20"/>
      <c r="X896" s="83"/>
      <c r="Z896" s="20"/>
    </row>
    <row r="897" spans="3:26" ht="15" customHeight="1" x14ac:dyDescent="0.2">
      <c r="C897" s="14"/>
      <c r="T897" s="36"/>
      <c r="U897" s="20"/>
      <c r="V897" s="20"/>
      <c r="X897" s="83"/>
      <c r="Z897" s="20"/>
    </row>
    <row r="898" spans="3:26" ht="15" customHeight="1" x14ac:dyDescent="0.2">
      <c r="C898" s="14"/>
      <c r="U898" s="14"/>
      <c r="Z898" s="20"/>
    </row>
    <row r="899" spans="3:26" ht="15" customHeight="1" x14ac:dyDescent="0.2">
      <c r="C899" s="14"/>
      <c r="T899" s="36"/>
      <c r="U899" s="33"/>
      <c r="V899" s="20"/>
      <c r="X899" s="83"/>
      <c r="Z899" s="20"/>
    </row>
    <row r="900" spans="3:26" ht="15" customHeight="1" x14ac:dyDescent="0.2">
      <c r="C900" s="14"/>
      <c r="T900" s="36"/>
      <c r="U900" s="33"/>
      <c r="V900" s="20"/>
      <c r="X900" s="83"/>
      <c r="Z900" s="20"/>
    </row>
    <row r="901" spans="3:26" ht="15" customHeight="1" x14ac:dyDescent="0.2">
      <c r="C901" s="14"/>
      <c r="U901" s="20"/>
      <c r="V901" s="20"/>
      <c r="Y901" s="26"/>
      <c r="Z901" s="20"/>
    </row>
    <row r="902" spans="3:26" ht="15" customHeight="1" x14ac:dyDescent="0.2">
      <c r="C902" s="14"/>
      <c r="U902" s="20"/>
      <c r="V902" s="20"/>
      <c r="Z902" s="20"/>
    </row>
    <row r="903" spans="3:26" ht="15" customHeight="1" x14ac:dyDescent="0.2">
      <c r="C903" s="14"/>
      <c r="U903" s="20"/>
      <c r="V903" s="20"/>
      <c r="Z903" s="20"/>
    </row>
    <row r="904" spans="3:26" ht="15" customHeight="1" x14ac:dyDescent="0.2">
      <c r="C904" s="14"/>
      <c r="U904" s="14"/>
      <c r="Z904" s="20"/>
    </row>
    <row r="905" spans="3:26" ht="15" customHeight="1" x14ac:dyDescent="0.2">
      <c r="C905" s="14"/>
      <c r="U905" s="14"/>
      <c r="Z905" s="20"/>
    </row>
    <row r="906" spans="3:26" ht="15" customHeight="1" x14ac:dyDescent="0.2">
      <c r="C906" s="14"/>
      <c r="U906" s="14"/>
      <c r="Z906" s="20"/>
    </row>
    <row r="907" spans="3:26" ht="15" customHeight="1" x14ac:dyDescent="0.2">
      <c r="C907" s="20"/>
      <c r="U907" s="14"/>
      <c r="Y907" s="22"/>
      <c r="Z907" s="20"/>
    </row>
    <row r="908" spans="3:26" ht="15" customHeight="1" x14ac:dyDescent="0.2">
      <c r="C908" s="14"/>
      <c r="U908" s="20"/>
      <c r="V908" s="20"/>
      <c r="Z908" s="20"/>
    </row>
    <row r="909" spans="3:26" ht="15" customHeight="1" x14ac:dyDescent="0.2">
      <c r="C909" s="14"/>
      <c r="U909" s="14"/>
      <c r="Z909" s="20"/>
    </row>
    <row r="910" spans="3:26" ht="15" customHeight="1" x14ac:dyDescent="0.2">
      <c r="C910" s="14"/>
      <c r="U910" s="20"/>
      <c r="V910" s="20"/>
      <c r="Z910" s="20"/>
    </row>
    <row r="911" spans="3:26" ht="15" customHeight="1" x14ac:dyDescent="0.2">
      <c r="C911" s="14"/>
      <c r="U911" s="14"/>
      <c r="Z911" s="20"/>
    </row>
    <row r="912" spans="3:26" ht="15" customHeight="1" x14ac:dyDescent="0.2">
      <c r="C912" s="14"/>
      <c r="U912" s="20"/>
      <c r="V912" s="20"/>
      <c r="Z912" s="20"/>
    </row>
    <row r="913" spans="3:26" ht="15" customHeight="1" x14ac:dyDescent="0.2">
      <c r="C913" s="14"/>
      <c r="U913" s="14"/>
      <c r="Z913" s="20"/>
    </row>
    <row r="914" spans="3:26" ht="15" customHeight="1" x14ac:dyDescent="0.2">
      <c r="C914" s="14"/>
      <c r="U914" s="14"/>
      <c r="Z914" s="20"/>
    </row>
    <row r="915" spans="3:26" ht="15" customHeight="1" x14ac:dyDescent="0.2">
      <c r="C915" s="14"/>
      <c r="U915" s="14"/>
      <c r="Z915" s="20"/>
    </row>
    <row r="916" spans="3:26" ht="15" customHeight="1" x14ac:dyDescent="0.2">
      <c r="C916" s="14"/>
      <c r="T916" s="36"/>
      <c r="U916" s="20"/>
      <c r="V916" s="20"/>
      <c r="Z916" s="20"/>
    </row>
    <row r="917" spans="3:26" ht="15" customHeight="1" x14ac:dyDescent="0.2">
      <c r="C917" s="14"/>
      <c r="T917" s="36"/>
      <c r="U917" s="20"/>
      <c r="V917" s="20"/>
      <c r="Z917" s="20"/>
    </row>
    <row r="918" spans="3:26" ht="15" customHeight="1" x14ac:dyDescent="0.2">
      <c r="C918" s="14"/>
      <c r="U918" s="20"/>
      <c r="V918" s="20"/>
      <c r="Y918" s="22"/>
      <c r="Z918" s="20"/>
    </row>
    <row r="919" spans="3:26" ht="15" customHeight="1" x14ac:dyDescent="0.2">
      <c r="C919" s="14"/>
      <c r="U919" s="14"/>
      <c r="Y919" s="22"/>
      <c r="Z919" s="20"/>
    </row>
    <row r="920" spans="3:26" ht="15" customHeight="1" x14ac:dyDescent="0.2">
      <c r="C920" s="14"/>
      <c r="U920" s="14"/>
      <c r="Z920" s="20"/>
    </row>
    <row r="921" spans="3:26" ht="15" customHeight="1" x14ac:dyDescent="0.2">
      <c r="C921" s="14"/>
      <c r="U921" s="14"/>
      <c r="Z921" s="20"/>
    </row>
    <row r="922" spans="3:26" ht="15" customHeight="1" x14ac:dyDescent="0.2">
      <c r="C922" s="14"/>
      <c r="U922" s="14"/>
      <c r="Y922" s="26"/>
      <c r="Z922" s="20"/>
    </row>
    <row r="923" spans="3:26" ht="15" customHeight="1" x14ac:dyDescent="0.2">
      <c r="C923" s="14"/>
      <c r="U923" s="14"/>
      <c r="Z923" s="20"/>
    </row>
    <row r="924" spans="3:26" ht="15" customHeight="1" x14ac:dyDescent="0.2">
      <c r="C924" s="14"/>
      <c r="U924" s="14"/>
      <c r="Z924" s="20"/>
    </row>
    <row r="925" spans="3:26" ht="15" customHeight="1" x14ac:dyDescent="0.2">
      <c r="C925" s="14"/>
      <c r="U925" s="14"/>
      <c r="Z925" s="20"/>
    </row>
    <row r="926" spans="3:26" ht="15" customHeight="1" x14ac:dyDescent="0.2">
      <c r="C926" s="14"/>
      <c r="U926" s="14"/>
      <c r="Z926" s="20"/>
    </row>
    <row r="927" spans="3:26" ht="15" customHeight="1" x14ac:dyDescent="0.2">
      <c r="C927" s="14"/>
      <c r="U927" s="14"/>
      <c r="Z927" s="20"/>
    </row>
    <row r="928" spans="3:26" ht="15" customHeight="1" x14ac:dyDescent="0.2">
      <c r="C928" s="14"/>
      <c r="U928" s="14"/>
      <c r="Z928" s="20"/>
    </row>
    <row r="929" spans="3:26" ht="15" customHeight="1" x14ac:dyDescent="0.2">
      <c r="C929" s="14"/>
      <c r="V929" s="20"/>
      <c r="Z929" s="20"/>
    </row>
    <row r="930" spans="3:26" ht="15" customHeight="1" x14ac:dyDescent="0.2">
      <c r="C930" s="14"/>
      <c r="V930" s="20"/>
      <c r="Z930" s="20"/>
    </row>
    <row r="931" spans="3:26" ht="15" customHeight="1" x14ac:dyDescent="0.2">
      <c r="C931" s="14"/>
      <c r="U931" s="14"/>
      <c r="Z931" s="20"/>
    </row>
    <row r="932" spans="3:26" ht="15" customHeight="1" x14ac:dyDescent="0.2">
      <c r="C932" s="14"/>
      <c r="V932" s="20"/>
      <c r="Z932" s="20"/>
    </row>
    <row r="933" spans="3:26" ht="15" customHeight="1" x14ac:dyDescent="0.2">
      <c r="C933" s="14"/>
      <c r="U933" s="14"/>
      <c r="Z933" s="20"/>
    </row>
    <row r="934" spans="3:26" ht="15" customHeight="1" x14ac:dyDescent="0.2">
      <c r="C934" s="14"/>
      <c r="U934" s="14"/>
      <c r="Z934" s="20"/>
    </row>
    <row r="935" spans="3:26" ht="15" customHeight="1" x14ac:dyDescent="0.2">
      <c r="C935" s="14"/>
      <c r="U935" s="20"/>
      <c r="V935" s="20"/>
      <c r="Z935" s="20"/>
    </row>
    <row r="936" spans="3:26" ht="15" customHeight="1" x14ac:dyDescent="0.2">
      <c r="C936" s="14"/>
      <c r="U936" s="20"/>
      <c r="V936" s="20"/>
      <c r="Z936" s="20"/>
    </row>
    <row r="937" spans="3:26" ht="15" customHeight="1" x14ac:dyDescent="0.2">
      <c r="C937" s="14"/>
      <c r="U937" s="33"/>
      <c r="V937" s="20"/>
      <c r="Z937" s="20"/>
    </row>
    <row r="938" spans="3:26" ht="15" customHeight="1" x14ac:dyDescent="0.2">
      <c r="C938" s="14"/>
      <c r="G938" s="39"/>
      <c r="H938" s="39"/>
      <c r="U938" s="14"/>
      <c r="Z938" s="20"/>
    </row>
    <row r="939" spans="3:26" ht="15" customHeight="1" x14ac:dyDescent="0.2">
      <c r="C939" s="14"/>
      <c r="G939" s="39"/>
      <c r="H939" s="39"/>
      <c r="U939" s="14"/>
      <c r="Z939" s="20"/>
    </row>
    <row r="940" spans="3:26" ht="15" customHeight="1" x14ac:dyDescent="0.2">
      <c r="C940" s="14"/>
      <c r="U940" s="14"/>
      <c r="Z940" s="20"/>
    </row>
    <row r="941" spans="3:26" ht="15" customHeight="1" x14ac:dyDescent="0.2">
      <c r="C941" s="14"/>
      <c r="U941" s="33"/>
      <c r="V941" s="20"/>
      <c r="Z941" s="20"/>
    </row>
    <row r="942" spans="3:26" ht="15" customHeight="1" x14ac:dyDescent="0.2">
      <c r="C942" s="14"/>
      <c r="U942" s="33"/>
      <c r="V942" s="20"/>
      <c r="Z942" s="20"/>
    </row>
    <row r="943" spans="3:26" ht="15" customHeight="1" x14ac:dyDescent="0.2">
      <c r="C943" s="20"/>
      <c r="U943" s="14"/>
      <c r="Z943" s="20"/>
    </row>
    <row r="944" spans="3:26" ht="15" customHeight="1" x14ac:dyDescent="0.2">
      <c r="C944" s="14"/>
      <c r="R944" s="40"/>
      <c r="V944" s="20"/>
      <c r="Y944" s="22"/>
      <c r="Z944" s="20"/>
    </row>
    <row r="945" spans="3:26" ht="15" customHeight="1" x14ac:dyDescent="0.2">
      <c r="C945" s="14"/>
      <c r="U945" s="14"/>
      <c r="Z945" s="20"/>
    </row>
    <row r="946" spans="3:26" ht="15" customHeight="1" x14ac:dyDescent="0.2">
      <c r="C946" s="14"/>
      <c r="V946" s="20"/>
      <c r="Z946" s="20"/>
    </row>
    <row r="947" spans="3:26" ht="15" customHeight="1" x14ac:dyDescent="0.2">
      <c r="C947" s="14"/>
      <c r="U947" s="14"/>
      <c r="Z947" s="20"/>
    </row>
    <row r="948" spans="3:26" ht="15" customHeight="1" x14ac:dyDescent="0.2">
      <c r="C948" s="14"/>
      <c r="U948" s="14"/>
      <c r="Z948" s="20"/>
    </row>
    <row r="949" spans="3:26" ht="15" customHeight="1" x14ac:dyDescent="0.2">
      <c r="C949" s="14"/>
      <c r="U949" s="33"/>
      <c r="V949" s="20"/>
      <c r="Z949" s="20"/>
    </row>
    <row r="950" spans="3:26" ht="15" customHeight="1" x14ac:dyDescent="0.2">
      <c r="C950" s="14"/>
      <c r="T950" s="36"/>
      <c r="U950" s="20"/>
      <c r="V950" s="20"/>
      <c r="Z950" s="20"/>
    </row>
    <row r="951" spans="3:26" ht="15" customHeight="1" x14ac:dyDescent="0.2">
      <c r="C951" s="14"/>
      <c r="T951" s="36"/>
      <c r="U951" s="20"/>
      <c r="V951" s="20"/>
      <c r="Z951" s="20"/>
    </row>
    <row r="952" spans="3:26" ht="15" customHeight="1" x14ac:dyDescent="0.2">
      <c r="C952" s="14"/>
      <c r="T952" s="36"/>
      <c r="U952" s="20"/>
      <c r="V952" s="20"/>
      <c r="Z952" s="20"/>
    </row>
    <row r="953" spans="3:26" ht="15" customHeight="1" x14ac:dyDescent="0.2">
      <c r="C953" s="14"/>
      <c r="T953" s="36"/>
      <c r="U953" s="20"/>
      <c r="V953" s="20"/>
      <c r="Z953" s="20"/>
    </row>
    <row r="954" spans="3:26" ht="15" customHeight="1" x14ac:dyDescent="0.2">
      <c r="C954" s="14"/>
      <c r="U954" s="14"/>
      <c r="Y954" s="24"/>
      <c r="Z954" s="20"/>
    </row>
    <row r="955" spans="3:26" ht="15" customHeight="1" x14ac:dyDescent="0.2">
      <c r="C955" s="14"/>
      <c r="J955" s="17"/>
      <c r="U955" s="33"/>
      <c r="V955" s="20"/>
      <c r="Z955" s="20"/>
    </row>
    <row r="956" spans="3:26" ht="15" customHeight="1" x14ac:dyDescent="0.2">
      <c r="C956" s="14"/>
      <c r="U956" s="33"/>
      <c r="V956" s="20"/>
      <c r="Z956" s="20"/>
    </row>
    <row r="957" spans="3:26" ht="15" customHeight="1" x14ac:dyDescent="0.2">
      <c r="C957" s="14"/>
      <c r="U957" s="14"/>
      <c r="Z957" s="20"/>
    </row>
    <row r="958" spans="3:26" ht="15" customHeight="1" x14ac:dyDescent="0.2">
      <c r="C958" s="14"/>
      <c r="U958" s="14"/>
      <c r="Z958" s="20"/>
    </row>
    <row r="959" spans="3:26" ht="15" customHeight="1" x14ac:dyDescent="0.2">
      <c r="C959" s="14"/>
      <c r="U959" s="14"/>
      <c r="Z959" s="20"/>
    </row>
    <row r="960" spans="3:26" ht="15" customHeight="1" x14ac:dyDescent="0.2">
      <c r="C960" s="14"/>
      <c r="T960" s="36"/>
      <c r="U960" s="33"/>
      <c r="V960" s="20"/>
      <c r="Y960" s="22"/>
      <c r="Z960" s="20"/>
    </row>
    <row r="961" spans="3:26" ht="15" customHeight="1" x14ac:dyDescent="0.2">
      <c r="C961" s="14"/>
      <c r="T961" s="36"/>
      <c r="U961" s="33"/>
      <c r="V961" s="20"/>
      <c r="Y961" s="22"/>
      <c r="Z961" s="20"/>
    </row>
    <row r="962" spans="3:26" ht="15" customHeight="1" x14ac:dyDescent="0.2">
      <c r="C962" s="14"/>
      <c r="T962" s="36"/>
      <c r="U962" s="33"/>
      <c r="V962" s="20"/>
      <c r="Z962" s="20"/>
    </row>
    <row r="963" spans="3:26" ht="15" customHeight="1" x14ac:dyDescent="0.2">
      <c r="C963" s="14"/>
      <c r="U963" s="20"/>
      <c r="V963" s="20"/>
      <c r="Z963" s="20"/>
    </row>
    <row r="964" spans="3:26" ht="15" customHeight="1" x14ac:dyDescent="0.2">
      <c r="C964" s="14"/>
      <c r="U964" s="33"/>
      <c r="V964" s="20"/>
      <c r="Z964" s="20"/>
    </row>
    <row r="965" spans="3:26" ht="22.5" customHeight="1" x14ac:dyDescent="0.2">
      <c r="C965" s="14"/>
      <c r="U965" s="14"/>
      <c r="Z965" s="20"/>
    </row>
    <row r="966" spans="3:26" ht="21" customHeight="1" x14ac:dyDescent="0.2">
      <c r="C966" s="14"/>
      <c r="U966" s="20"/>
      <c r="V966" s="20"/>
      <c r="Z966" s="20"/>
    </row>
    <row r="967" spans="3:26" ht="15" customHeight="1" x14ac:dyDescent="0.2">
      <c r="C967" s="14"/>
      <c r="U967" s="20"/>
      <c r="V967" s="20"/>
      <c r="Z967" s="20"/>
    </row>
    <row r="968" spans="3:26" ht="15" customHeight="1" x14ac:dyDescent="0.2">
      <c r="C968" s="14"/>
      <c r="U968" s="14"/>
      <c r="Z968" s="20"/>
    </row>
    <row r="969" spans="3:26" ht="15" customHeight="1" x14ac:dyDescent="0.2">
      <c r="C969" s="14"/>
      <c r="U969" s="33"/>
      <c r="V969" s="20"/>
      <c r="Z969" s="20"/>
    </row>
    <row r="970" spans="3:26" ht="15" customHeight="1" x14ac:dyDescent="0.2">
      <c r="C970" s="14"/>
      <c r="U970" s="14"/>
      <c r="Z970" s="20"/>
    </row>
    <row r="971" spans="3:26" ht="15" customHeight="1" x14ac:dyDescent="0.2">
      <c r="C971" s="14"/>
      <c r="U971" s="33"/>
      <c r="V971" s="20"/>
      <c r="Z971" s="20"/>
    </row>
    <row r="972" spans="3:26" ht="15" customHeight="1" x14ac:dyDescent="0.2">
      <c r="C972" s="14"/>
      <c r="V972" s="20"/>
      <c r="Z972" s="20"/>
    </row>
    <row r="973" spans="3:26" ht="15" customHeight="1" x14ac:dyDescent="0.2">
      <c r="C973" s="14"/>
      <c r="V973" s="20"/>
      <c r="Z973" s="20"/>
    </row>
    <row r="974" spans="3:26" ht="15" customHeight="1" x14ac:dyDescent="0.2">
      <c r="C974" s="14"/>
      <c r="U974" s="20"/>
      <c r="V974" s="20"/>
      <c r="Z974" s="20"/>
    </row>
    <row r="975" spans="3:26" ht="15" customHeight="1" x14ac:dyDescent="0.2">
      <c r="C975" s="14"/>
      <c r="U975" s="33"/>
      <c r="V975" s="20"/>
      <c r="Z975" s="20"/>
    </row>
    <row r="976" spans="3:26" ht="15" customHeight="1" x14ac:dyDescent="0.2">
      <c r="C976" s="14"/>
      <c r="U976" s="14"/>
      <c r="V976" s="20"/>
      <c r="Z976" s="20"/>
    </row>
    <row r="977" spans="3:26" ht="15" customHeight="1" x14ac:dyDescent="0.2">
      <c r="C977" s="14"/>
      <c r="U977" s="33"/>
      <c r="V977" s="20"/>
      <c r="Z977" s="20"/>
    </row>
    <row r="978" spans="3:26" ht="15" customHeight="1" x14ac:dyDescent="0.2">
      <c r="C978" s="14"/>
      <c r="U978" s="33"/>
      <c r="V978" s="20"/>
      <c r="Z978" s="20"/>
    </row>
    <row r="979" spans="3:26" ht="15" customHeight="1" x14ac:dyDescent="0.2">
      <c r="C979" s="14"/>
      <c r="U979" s="14"/>
      <c r="Y979" s="22"/>
      <c r="Z979" s="20"/>
    </row>
    <row r="980" spans="3:26" ht="15" customHeight="1" x14ac:dyDescent="0.2">
      <c r="C980" s="25"/>
      <c r="D980" s="34"/>
      <c r="E980" s="34"/>
      <c r="F980" s="34"/>
      <c r="G980" s="34"/>
      <c r="H980" s="34"/>
      <c r="I980" s="34"/>
      <c r="J980" s="34"/>
      <c r="K980" s="34"/>
      <c r="L980" s="34"/>
      <c r="T980" s="36"/>
      <c r="U980" s="20"/>
      <c r="V980" s="20"/>
      <c r="Y980" s="38"/>
      <c r="Z980" s="20"/>
    </row>
    <row r="981" spans="3:26" ht="15" customHeight="1" x14ac:dyDescent="0.2">
      <c r="C981" s="14"/>
      <c r="U981" s="20"/>
      <c r="V981" s="20"/>
      <c r="Z981" s="20"/>
    </row>
    <row r="982" spans="3:26" ht="15" customHeight="1" x14ac:dyDescent="0.2">
      <c r="C982" s="14"/>
      <c r="U982" s="14"/>
      <c r="Z982" s="20"/>
    </row>
    <row r="983" spans="3:26" ht="15" customHeight="1" x14ac:dyDescent="0.2">
      <c r="C983" s="14"/>
      <c r="U983" s="14"/>
      <c r="Z983" s="20"/>
    </row>
    <row r="984" spans="3:26" ht="15" customHeight="1" x14ac:dyDescent="0.2">
      <c r="C984" s="20"/>
      <c r="U984" s="33"/>
      <c r="V984" s="20"/>
      <c r="Z984" s="20"/>
    </row>
    <row r="985" spans="3:26" x14ac:dyDescent="0.2">
      <c r="C985" s="14"/>
      <c r="U985" s="14"/>
      <c r="Z985" s="20"/>
    </row>
    <row r="986" spans="3:26" x14ac:dyDescent="0.2">
      <c r="C986" s="20"/>
      <c r="U986" s="14"/>
      <c r="Z986" s="20"/>
    </row>
    <row r="987" spans="3:26" x14ac:dyDescent="0.2">
      <c r="C987" s="20"/>
      <c r="U987" s="14"/>
      <c r="Z987" s="20"/>
    </row>
    <row r="988" spans="3:26" ht="15" customHeight="1" x14ac:dyDescent="0.2">
      <c r="C988" s="14"/>
      <c r="U988" s="33"/>
      <c r="V988" s="20"/>
      <c r="Y988" s="26"/>
      <c r="Z988" s="20"/>
    </row>
    <row r="989" spans="3:26" ht="15" customHeight="1" x14ac:dyDescent="0.2">
      <c r="C989" s="14"/>
      <c r="U989" s="20"/>
      <c r="V989" s="20"/>
      <c r="X989" s="83"/>
      <c r="Z989" s="20"/>
    </row>
    <row r="990" spans="3:26" ht="15" customHeight="1" x14ac:dyDescent="0.2">
      <c r="C990" s="14"/>
      <c r="U990" s="20"/>
      <c r="V990" s="20"/>
      <c r="X990" s="83"/>
      <c r="Z990" s="20"/>
    </row>
    <row r="991" spans="3:26" ht="15" customHeight="1" x14ac:dyDescent="0.2">
      <c r="C991" s="14"/>
      <c r="U991" s="14"/>
      <c r="Z991" s="20"/>
    </row>
    <row r="992" spans="3:26" ht="15" customHeight="1" x14ac:dyDescent="0.2">
      <c r="C992" s="14"/>
      <c r="U992" s="14"/>
      <c r="Z992" s="20"/>
    </row>
    <row r="993" spans="3:26" ht="15" customHeight="1" x14ac:dyDescent="0.2">
      <c r="C993" s="14"/>
      <c r="T993" s="36"/>
      <c r="U993" s="20"/>
      <c r="V993" s="20"/>
      <c r="Z993" s="20"/>
    </row>
    <row r="994" spans="3:26" x14ac:dyDescent="0.2">
      <c r="C994" s="14"/>
      <c r="U994" s="14"/>
      <c r="Z994" s="20"/>
    </row>
    <row r="995" spans="3:26" ht="15" customHeight="1" x14ac:dyDescent="0.2">
      <c r="C995" s="14"/>
      <c r="U995" s="14"/>
      <c r="Z995" s="20"/>
    </row>
    <row r="996" spans="3:26" x14ac:dyDescent="0.2">
      <c r="C996" s="14"/>
      <c r="U996" s="14"/>
      <c r="Z996" s="20"/>
    </row>
    <row r="997" spans="3:26" ht="15" customHeight="1" x14ac:dyDescent="0.2">
      <c r="C997" s="14"/>
      <c r="U997" s="14"/>
      <c r="Z997" s="20"/>
    </row>
    <row r="998" spans="3:26" ht="15" customHeight="1" x14ac:dyDescent="0.2">
      <c r="C998" s="14"/>
      <c r="U998" s="20"/>
      <c r="V998" s="20"/>
      <c r="Z998" s="20"/>
    </row>
    <row r="999" spans="3:26" ht="15" customHeight="1" x14ac:dyDescent="0.2">
      <c r="C999" s="14"/>
      <c r="U999" s="33"/>
      <c r="V999" s="20"/>
      <c r="X999" s="83"/>
      <c r="Z999" s="20"/>
    </row>
    <row r="1000" spans="3:26" ht="15" customHeight="1" x14ac:dyDescent="0.2">
      <c r="C1000" s="14"/>
      <c r="U1000" s="33"/>
      <c r="V1000" s="20"/>
      <c r="X1000" s="83"/>
      <c r="Z1000" s="20"/>
    </row>
    <row r="1001" spans="3:26" ht="15" customHeight="1" x14ac:dyDescent="0.2">
      <c r="C1001" s="14"/>
      <c r="U1001" s="20"/>
      <c r="V1001" s="20"/>
      <c r="Z1001" s="20"/>
    </row>
    <row r="1002" spans="3:26" ht="15" customHeight="1" x14ac:dyDescent="0.2">
      <c r="C1002" s="14"/>
      <c r="U1002" s="33"/>
      <c r="V1002" s="20"/>
      <c r="X1002" s="83"/>
      <c r="Z1002" s="20"/>
    </row>
    <row r="1003" spans="3:26" ht="15" customHeight="1" x14ac:dyDescent="0.2">
      <c r="C1003" s="14"/>
      <c r="U1003" s="33"/>
      <c r="V1003" s="20"/>
      <c r="X1003" s="83"/>
      <c r="Z1003" s="20"/>
    </row>
    <row r="1004" spans="3:26" ht="15" customHeight="1" x14ac:dyDescent="0.2">
      <c r="C1004" s="14"/>
      <c r="U1004" s="20"/>
      <c r="V1004" s="20"/>
      <c r="Z1004" s="20"/>
    </row>
    <row r="1005" spans="3:26" x14ac:dyDescent="0.2">
      <c r="C1005" s="14"/>
      <c r="U1005" s="14"/>
      <c r="Z1005" s="20"/>
    </row>
    <row r="1006" spans="3:26" x14ac:dyDescent="0.2">
      <c r="C1006" s="14"/>
      <c r="U1006" s="14"/>
      <c r="Y1006" s="26"/>
      <c r="Z1006" s="20"/>
    </row>
    <row r="1007" spans="3:26" x14ac:dyDescent="0.2">
      <c r="C1007" s="14"/>
      <c r="U1007" s="14"/>
      <c r="Y1007" s="24"/>
      <c r="Z1007" s="20"/>
    </row>
    <row r="1008" spans="3:26" x14ac:dyDescent="0.2">
      <c r="C1008" s="14"/>
      <c r="U1008" s="14"/>
      <c r="Z1008" s="20"/>
    </row>
    <row r="1009" spans="1:27" ht="15" customHeight="1" x14ac:dyDescent="0.2">
      <c r="C1009" s="14"/>
      <c r="U1009" s="14"/>
      <c r="Z1009" s="20"/>
    </row>
    <row r="1010" spans="1:27" x14ac:dyDescent="0.2">
      <c r="C1010" s="14"/>
      <c r="U1010" s="14"/>
      <c r="Z1010" s="20"/>
    </row>
    <row r="1011" spans="1:27" x14ac:dyDescent="0.2">
      <c r="C1011" s="14"/>
      <c r="U1011" s="14"/>
      <c r="Z1011" s="20"/>
    </row>
    <row r="1012" spans="1:27" ht="15" customHeight="1" x14ac:dyDescent="0.2">
      <c r="C1012" s="14"/>
      <c r="U1012" s="14"/>
      <c r="Z1012" s="20"/>
    </row>
    <row r="1013" spans="1:27" s="21" customFormat="1" ht="15" customHeight="1" x14ac:dyDescent="0.2">
      <c r="C1013" s="41"/>
      <c r="S1013" s="8"/>
      <c r="T1013" s="8"/>
      <c r="U1013" s="33"/>
      <c r="V1013" s="33"/>
      <c r="W1013" s="8"/>
      <c r="X1013" s="8"/>
      <c r="Y1013" s="22"/>
      <c r="Z1013" s="33"/>
      <c r="AA1013" s="8"/>
    </row>
    <row r="1014" spans="1:27" s="21" customFormat="1" x14ac:dyDescent="0.2">
      <c r="B1014" s="8"/>
      <c r="C1014" s="41"/>
      <c r="U1014" s="14"/>
      <c r="V1014" s="8"/>
      <c r="W1014" s="8"/>
      <c r="X1014" s="8"/>
      <c r="Y1014" s="22"/>
      <c r="Z1014" s="33"/>
      <c r="AA1014" s="8"/>
    </row>
    <row r="1015" spans="1:27" s="21" customFormat="1" x14ac:dyDescent="0.2">
      <c r="B1015" s="8"/>
      <c r="C1015" s="41"/>
      <c r="U1015" s="14"/>
      <c r="V1015" s="8"/>
      <c r="W1015" s="8"/>
      <c r="X1015" s="8"/>
      <c r="Y1015" s="22"/>
      <c r="Z1015" s="33"/>
      <c r="AA1015" s="8"/>
    </row>
    <row r="1016" spans="1:27" ht="15" customHeight="1" x14ac:dyDescent="0.2">
      <c r="A1016" s="21"/>
      <c r="B1016" s="21"/>
      <c r="C1016" s="14"/>
      <c r="O1016" s="21"/>
      <c r="T1016" s="36"/>
      <c r="U1016" s="20"/>
      <c r="V1016" s="33"/>
      <c r="Y1016" s="22"/>
      <c r="Z1016" s="33"/>
    </row>
    <row r="1017" spans="1:27" x14ac:dyDescent="0.2">
      <c r="A1017" s="21"/>
      <c r="C1017" s="14"/>
      <c r="O1017" s="21"/>
      <c r="P1017" s="21"/>
      <c r="Q1017" s="21"/>
      <c r="R1017" s="21"/>
      <c r="S1017" s="21"/>
      <c r="T1017" s="21"/>
      <c r="U1017" s="14"/>
      <c r="Z1017" s="33"/>
    </row>
    <row r="1018" spans="1:27" x14ac:dyDescent="0.2">
      <c r="A1018" s="21"/>
      <c r="C1018" s="14"/>
      <c r="O1018" s="21"/>
      <c r="P1018" s="21"/>
      <c r="Q1018" s="21"/>
      <c r="S1018" s="21"/>
      <c r="U1018" s="14"/>
      <c r="V1018" s="33"/>
      <c r="Z1018" s="33"/>
    </row>
    <row r="1019" spans="1:27" x14ac:dyDescent="0.2">
      <c r="A1019" s="21"/>
      <c r="C1019" s="14"/>
      <c r="O1019" s="21"/>
      <c r="P1019" s="21"/>
      <c r="Q1019" s="21"/>
      <c r="R1019" s="21"/>
      <c r="S1019" s="21"/>
      <c r="T1019" s="21"/>
      <c r="U1019" s="14"/>
      <c r="Z1019" s="33"/>
    </row>
    <row r="1020" spans="1:27" ht="15" customHeight="1" x14ac:dyDescent="0.2">
      <c r="C1020" s="14"/>
      <c r="O1020" s="21"/>
      <c r="P1020" s="21"/>
      <c r="U1020" s="20"/>
      <c r="V1020" s="33"/>
      <c r="Z1020" s="33"/>
    </row>
    <row r="1021" spans="1:27" ht="15" customHeight="1" x14ac:dyDescent="0.2">
      <c r="C1021" s="14"/>
      <c r="O1021" s="21"/>
      <c r="P1021" s="21"/>
      <c r="T1021" s="36"/>
      <c r="U1021" s="20"/>
      <c r="V1021" s="20"/>
      <c r="Z1021" s="33"/>
    </row>
    <row r="1022" spans="1:27" ht="15" customHeight="1" x14ac:dyDescent="0.2">
      <c r="A1022" s="21"/>
      <c r="B1022" s="21"/>
      <c r="C1022" s="14"/>
      <c r="O1022" s="21"/>
      <c r="P1022" s="21"/>
      <c r="T1022" s="36"/>
      <c r="U1022" s="20"/>
      <c r="V1022" s="33"/>
      <c r="Z1022" s="33"/>
    </row>
    <row r="1023" spans="1:27" ht="15" customHeight="1" x14ac:dyDescent="0.2">
      <c r="C1023" s="14"/>
      <c r="O1023" s="21"/>
      <c r="Q1023" s="21"/>
      <c r="R1023" s="21"/>
      <c r="S1023" s="21"/>
      <c r="T1023" s="21"/>
      <c r="U1023" s="14"/>
      <c r="Z1023" s="33"/>
    </row>
    <row r="1024" spans="1:27" x14ac:dyDescent="0.2">
      <c r="A1024" s="21"/>
      <c r="C1024" s="14"/>
      <c r="D1024" s="13"/>
      <c r="E1024" s="13"/>
      <c r="F1024" s="13"/>
      <c r="G1024" s="13"/>
      <c r="H1024" s="13"/>
      <c r="I1024" s="13"/>
      <c r="J1024" s="13"/>
      <c r="K1024" s="13"/>
      <c r="L1024" s="13"/>
      <c r="O1024" s="21"/>
      <c r="P1024" s="21"/>
      <c r="Q1024" s="21"/>
      <c r="R1024" s="21"/>
      <c r="S1024" s="21"/>
      <c r="T1024" s="21"/>
      <c r="U1024" s="14"/>
      <c r="Z1024" s="33"/>
    </row>
    <row r="1025" spans="1:35" ht="15" customHeight="1" x14ac:dyDescent="0.2">
      <c r="C1025" s="14"/>
      <c r="O1025" s="21"/>
      <c r="P1025" s="13"/>
      <c r="T1025" s="36"/>
      <c r="U1025" s="20"/>
      <c r="V1025" s="20"/>
      <c r="Z1025" s="33"/>
    </row>
    <row r="1026" spans="1:35" x14ac:dyDescent="0.2">
      <c r="A1026" s="21"/>
      <c r="C1026" s="14"/>
      <c r="O1026" s="21"/>
      <c r="Q1026" s="21"/>
      <c r="R1026" s="21"/>
      <c r="S1026" s="21"/>
      <c r="T1026" s="21"/>
      <c r="U1026" s="14"/>
      <c r="Z1026" s="33"/>
    </row>
    <row r="1027" spans="1:35" x14ac:dyDescent="0.2">
      <c r="C1027" s="14"/>
      <c r="G1027" s="13"/>
      <c r="H1027" s="13"/>
      <c r="O1027" s="21"/>
      <c r="Q1027" s="21"/>
      <c r="R1027" s="21"/>
      <c r="S1027" s="21"/>
      <c r="T1027" s="21"/>
      <c r="U1027" s="14"/>
      <c r="Z1027" s="33"/>
    </row>
    <row r="1028" spans="1:35" x14ac:dyDescent="0.2">
      <c r="A1028" s="21"/>
      <c r="C1028" s="14"/>
      <c r="G1028" s="13"/>
      <c r="H1028" s="13"/>
      <c r="O1028" s="21"/>
      <c r="Q1028" s="21"/>
      <c r="R1028" s="21"/>
      <c r="S1028" s="21"/>
      <c r="T1028" s="21"/>
      <c r="U1028" s="14"/>
      <c r="Z1028" s="33"/>
    </row>
    <row r="1029" spans="1:35" x14ac:dyDescent="0.2">
      <c r="C1029" s="14"/>
      <c r="O1029" s="21"/>
      <c r="P1029" s="13"/>
      <c r="Q1029" s="21"/>
      <c r="R1029" s="21"/>
      <c r="S1029" s="21"/>
      <c r="T1029" s="21"/>
      <c r="U1029" s="14"/>
      <c r="Z1029" s="33"/>
    </row>
    <row r="1030" spans="1:35" ht="15" customHeight="1" x14ac:dyDescent="0.2">
      <c r="A1030" s="21"/>
      <c r="C1030" s="14"/>
      <c r="O1030" s="21"/>
      <c r="P1030" s="13"/>
      <c r="Q1030" s="21"/>
      <c r="R1030" s="21"/>
      <c r="S1030" s="21"/>
      <c r="T1030" s="21"/>
      <c r="U1030" s="14"/>
      <c r="Z1030" s="33"/>
    </row>
    <row r="1031" spans="1:35" x14ac:dyDescent="0.2">
      <c r="A1031" s="21"/>
      <c r="C1031" s="14"/>
      <c r="O1031" s="21"/>
      <c r="Q1031" s="21"/>
      <c r="R1031" s="21"/>
      <c r="S1031" s="21"/>
      <c r="T1031" s="21"/>
      <c r="U1031" s="14"/>
      <c r="Z1031" s="33"/>
    </row>
    <row r="1032" spans="1:35" x14ac:dyDescent="0.2">
      <c r="A1032" s="21"/>
      <c r="C1032" s="14"/>
      <c r="O1032" s="21"/>
      <c r="Q1032" s="21"/>
      <c r="S1032" s="21"/>
      <c r="U1032" s="14"/>
      <c r="V1032" s="20"/>
      <c r="Z1032" s="33"/>
      <c r="AC1032" s="17"/>
      <c r="AD1032" s="17"/>
      <c r="AE1032" s="17"/>
      <c r="AF1032" s="17"/>
      <c r="AG1032" s="17"/>
      <c r="AH1032" s="17"/>
      <c r="AI1032" s="17"/>
    </row>
    <row r="1033" spans="1:35" ht="15" customHeight="1" x14ac:dyDescent="0.2">
      <c r="C1033" s="14"/>
      <c r="O1033" s="21"/>
      <c r="Q1033" s="21"/>
      <c r="R1033" s="21"/>
      <c r="S1033" s="21"/>
      <c r="T1033" s="21"/>
      <c r="U1033" s="14"/>
      <c r="Z1033" s="33"/>
    </row>
    <row r="1034" spans="1:35" ht="15" customHeight="1" x14ac:dyDescent="0.2">
      <c r="A1034" s="21"/>
      <c r="B1034" s="21"/>
      <c r="C1034" s="14"/>
      <c r="O1034" s="21"/>
      <c r="P1034" s="13"/>
      <c r="U1034" s="20"/>
      <c r="V1034" s="20"/>
      <c r="Y1034" s="42"/>
      <c r="Z1034" s="33"/>
    </row>
    <row r="1035" spans="1:35" ht="15" customHeight="1" x14ac:dyDescent="0.2">
      <c r="A1035" s="21"/>
      <c r="B1035" s="21"/>
      <c r="C1035" s="14"/>
      <c r="O1035" s="21"/>
      <c r="P1035" s="13"/>
      <c r="U1035" s="20"/>
      <c r="V1035" s="20"/>
      <c r="Z1035" s="33"/>
    </row>
    <row r="1036" spans="1:35" ht="15" customHeight="1" x14ac:dyDescent="0.2">
      <c r="C1036" s="14"/>
      <c r="O1036" s="21"/>
      <c r="P1036" s="13"/>
      <c r="U1036" s="20"/>
      <c r="V1036" s="20"/>
      <c r="Z1036" s="33"/>
    </row>
    <row r="1037" spans="1:35" x14ac:dyDescent="0.2">
      <c r="A1037" s="21"/>
      <c r="C1037" s="14"/>
      <c r="O1037" s="21"/>
      <c r="Q1037" s="21"/>
      <c r="R1037" s="21"/>
      <c r="S1037" s="21"/>
      <c r="T1037" s="21"/>
      <c r="U1037" s="14"/>
      <c r="Z1037" s="33"/>
    </row>
    <row r="1038" spans="1:35" x14ac:dyDescent="0.2">
      <c r="A1038" s="21"/>
      <c r="C1038" s="20"/>
      <c r="O1038" s="21"/>
      <c r="Q1038" s="21"/>
      <c r="R1038" s="21"/>
      <c r="S1038" s="21"/>
      <c r="T1038" s="21"/>
      <c r="U1038" s="14"/>
      <c r="Z1038" s="33"/>
    </row>
    <row r="1039" spans="1:35" ht="15.75" customHeight="1" x14ac:dyDescent="0.2">
      <c r="C1039" s="43"/>
      <c r="D1039" s="44"/>
      <c r="E1039" s="44"/>
      <c r="F1039" s="44"/>
      <c r="G1039" s="44"/>
      <c r="H1039" s="44"/>
      <c r="I1039" s="44"/>
      <c r="J1039" s="44"/>
      <c r="K1039" s="44"/>
      <c r="L1039" s="44"/>
      <c r="O1039" s="21"/>
      <c r="U1039" s="20"/>
      <c r="V1039" s="20"/>
      <c r="Z1039" s="33"/>
    </row>
    <row r="1040" spans="1:35" ht="15.75" customHeight="1" x14ac:dyDescent="0.2">
      <c r="A1040" s="21"/>
      <c r="B1040" s="21"/>
      <c r="C1040" s="43"/>
      <c r="D1040" s="44"/>
      <c r="E1040" s="44"/>
      <c r="F1040" s="44"/>
      <c r="G1040" s="44"/>
      <c r="H1040" s="44"/>
      <c r="I1040" s="44"/>
      <c r="J1040" s="44"/>
      <c r="K1040" s="44"/>
      <c r="L1040" s="44"/>
      <c r="O1040" s="21"/>
      <c r="U1040" s="20"/>
      <c r="V1040" s="20"/>
      <c r="Y1040" s="22"/>
      <c r="Z1040" s="33"/>
    </row>
    <row r="1041" spans="1:26" ht="16" x14ac:dyDescent="0.2">
      <c r="C1041" s="45"/>
      <c r="D1041" s="44"/>
      <c r="E1041" s="44"/>
      <c r="F1041" s="44"/>
      <c r="G1041" s="44"/>
      <c r="H1041" s="44"/>
      <c r="I1041" s="44"/>
      <c r="J1041" s="44"/>
      <c r="K1041" s="44"/>
      <c r="L1041" s="44"/>
      <c r="Q1041" s="21"/>
      <c r="R1041" s="21"/>
      <c r="S1041" s="21"/>
      <c r="T1041" s="21"/>
      <c r="U1041" s="14"/>
      <c r="Z1041" s="33"/>
    </row>
    <row r="1042" spans="1:26" x14ac:dyDescent="0.2">
      <c r="A1042" s="21"/>
      <c r="C1042" s="14"/>
      <c r="O1042" s="21"/>
      <c r="Q1042" s="21"/>
      <c r="R1042" s="21"/>
      <c r="S1042" s="21"/>
      <c r="T1042" s="21"/>
      <c r="U1042" s="14"/>
      <c r="Z1042" s="33"/>
    </row>
    <row r="1043" spans="1:26" x14ac:dyDescent="0.2">
      <c r="A1043" s="21"/>
      <c r="C1043" s="14"/>
      <c r="O1043" s="21"/>
      <c r="Q1043" s="21"/>
      <c r="R1043" s="21"/>
      <c r="S1043" s="21"/>
      <c r="T1043" s="21"/>
      <c r="U1043" s="14"/>
      <c r="Z1043" s="33"/>
    </row>
    <row r="1044" spans="1:26" x14ac:dyDescent="0.2">
      <c r="C1044" s="14"/>
      <c r="O1044" s="21"/>
      <c r="V1044" s="20"/>
      <c r="Z1044" s="33"/>
    </row>
    <row r="1045" spans="1:26" x14ac:dyDescent="0.2">
      <c r="A1045" s="21"/>
      <c r="C1045" s="20"/>
      <c r="O1045" s="21"/>
      <c r="Q1045" s="21"/>
      <c r="R1045" s="21"/>
      <c r="S1045" s="21"/>
      <c r="T1045" s="21"/>
      <c r="U1045" s="14"/>
      <c r="Z1045" s="33"/>
    </row>
    <row r="1046" spans="1:26" x14ac:dyDescent="0.2">
      <c r="C1046" s="14"/>
      <c r="O1046" s="21"/>
      <c r="Q1046" s="21"/>
      <c r="R1046" s="21"/>
      <c r="S1046" s="21"/>
      <c r="T1046" s="21"/>
      <c r="U1046" s="14"/>
      <c r="Z1046" s="33"/>
    </row>
    <row r="1047" spans="1:26" x14ac:dyDescent="0.2">
      <c r="A1047" s="21"/>
      <c r="C1047" s="14"/>
      <c r="O1047" s="21"/>
      <c r="Q1047" s="21"/>
      <c r="R1047" s="21"/>
      <c r="S1047" s="21"/>
      <c r="T1047" s="21"/>
      <c r="U1047" s="14"/>
      <c r="Z1047" s="33"/>
    </row>
    <row r="1048" spans="1:26" x14ac:dyDescent="0.2">
      <c r="A1048" s="83"/>
      <c r="C1048" s="84"/>
      <c r="D1048" s="83"/>
      <c r="E1048" s="83"/>
      <c r="F1048" s="83"/>
      <c r="G1048" s="83"/>
      <c r="H1048" s="83"/>
      <c r="O1048" s="21"/>
      <c r="U1048" s="20"/>
      <c r="V1048" s="20"/>
      <c r="X1048" s="83"/>
      <c r="Z1048" s="33"/>
    </row>
    <row r="1049" spans="1:26" x14ac:dyDescent="0.2">
      <c r="A1049" s="83"/>
      <c r="C1049" s="84"/>
      <c r="D1049" s="83"/>
      <c r="E1049" s="83"/>
      <c r="F1049" s="83"/>
      <c r="G1049" s="83"/>
      <c r="H1049" s="83"/>
      <c r="O1049" s="21"/>
      <c r="U1049" s="20"/>
      <c r="V1049" s="20"/>
      <c r="X1049" s="83"/>
      <c r="Z1049" s="33"/>
    </row>
    <row r="1050" spans="1:26" x14ac:dyDescent="0.2">
      <c r="C1050" s="14"/>
      <c r="O1050" s="21"/>
      <c r="V1050" s="20"/>
      <c r="Z1050" s="33"/>
    </row>
    <row r="1051" spans="1:26" x14ac:dyDescent="0.2">
      <c r="C1051" s="14"/>
      <c r="O1051" s="21"/>
      <c r="V1051" s="20"/>
      <c r="Z1051" s="33"/>
    </row>
    <row r="1052" spans="1:26" x14ac:dyDescent="0.2">
      <c r="C1052" s="14"/>
      <c r="O1052" s="21"/>
      <c r="S1052" s="21"/>
      <c r="U1052" s="20"/>
      <c r="V1052" s="20"/>
      <c r="Z1052" s="33"/>
    </row>
    <row r="1053" spans="1:26" x14ac:dyDescent="0.2">
      <c r="C1053" s="14"/>
      <c r="O1053" s="21"/>
      <c r="S1053" s="21"/>
      <c r="U1053" s="20"/>
      <c r="V1053" s="20"/>
      <c r="Z1053" s="33"/>
    </row>
    <row r="1054" spans="1:26" x14ac:dyDescent="0.2">
      <c r="C1054" s="14"/>
      <c r="O1054" s="21"/>
      <c r="Q1054" s="21"/>
      <c r="R1054" s="21"/>
      <c r="S1054" s="21"/>
      <c r="T1054" s="21"/>
      <c r="U1054" s="20"/>
      <c r="Z1054" s="33"/>
    </row>
    <row r="1055" spans="1:26" x14ac:dyDescent="0.2">
      <c r="C1055" s="14"/>
      <c r="O1055" s="21"/>
      <c r="U1055" s="20"/>
      <c r="V1055" s="20"/>
      <c r="Z1055" s="33"/>
    </row>
    <row r="1056" spans="1:26" x14ac:dyDescent="0.2">
      <c r="C1056" s="14"/>
      <c r="O1056" s="21"/>
      <c r="Q1056" s="21"/>
      <c r="R1056" s="21"/>
      <c r="S1056" s="21"/>
      <c r="T1056" s="21"/>
      <c r="Z1056" s="33"/>
    </row>
    <row r="1057" spans="3:26" x14ac:dyDescent="0.2">
      <c r="C1057" s="14"/>
      <c r="O1057" s="21"/>
      <c r="P1057" s="13"/>
      <c r="Q1057" s="21"/>
      <c r="R1057" s="21"/>
      <c r="S1057" s="21"/>
      <c r="T1057" s="21"/>
      <c r="Z1057" s="33"/>
    </row>
    <row r="1058" spans="3:26" x14ac:dyDescent="0.2">
      <c r="C1058" s="14"/>
      <c r="O1058" s="21"/>
      <c r="Q1058" s="21"/>
      <c r="R1058" s="21"/>
      <c r="S1058" s="21"/>
      <c r="T1058" s="21"/>
      <c r="Z1058" s="33"/>
    </row>
    <row r="1059" spans="3:26" x14ac:dyDescent="0.2">
      <c r="C1059" s="20"/>
      <c r="O1059" s="21"/>
      <c r="Q1059" s="21"/>
      <c r="R1059" s="21"/>
      <c r="S1059" s="21"/>
      <c r="T1059" s="21"/>
      <c r="Z1059" s="33"/>
    </row>
    <row r="1060" spans="3:26" x14ac:dyDescent="0.2">
      <c r="C1060" s="14"/>
      <c r="O1060" s="21"/>
      <c r="V1060" s="20"/>
      <c r="Z1060" s="33"/>
    </row>
    <row r="1061" spans="3:26" x14ac:dyDescent="0.2">
      <c r="C1061" s="14"/>
      <c r="O1061" s="21"/>
      <c r="U1061" s="20"/>
      <c r="V1061" s="20"/>
      <c r="Z1061" s="33"/>
    </row>
    <row r="1062" spans="3:26" x14ac:dyDescent="0.2">
      <c r="C1062" s="14"/>
      <c r="O1062" s="21"/>
      <c r="P1062" s="13"/>
      <c r="Q1062" s="21"/>
      <c r="R1062" s="21"/>
      <c r="S1062" s="21"/>
      <c r="T1062" s="21"/>
      <c r="Z1062" s="33"/>
    </row>
    <row r="1063" spans="3:26" x14ac:dyDescent="0.2">
      <c r="C1063" s="14"/>
      <c r="O1063" s="21"/>
      <c r="P1063" s="13"/>
      <c r="Q1063" s="21"/>
      <c r="R1063" s="21"/>
      <c r="S1063" s="21"/>
      <c r="T1063" s="21"/>
      <c r="Z1063" s="33"/>
    </row>
    <row r="1064" spans="3:26" x14ac:dyDescent="0.2">
      <c r="C1064" s="14"/>
      <c r="O1064" s="21"/>
      <c r="U1064" s="20"/>
      <c r="V1064" s="20"/>
      <c r="Z1064" s="33"/>
    </row>
    <row r="1065" spans="3:26" x14ac:dyDescent="0.2">
      <c r="C1065" s="14"/>
      <c r="O1065" s="21"/>
      <c r="U1065" s="20"/>
      <c r="V1065" s="20"/>
      <c r="Z1065" s="33"/>
    </row>
    <row r="1066" spans="3:26" x14ac:dyDescent="0.2">
      <c r="C1066" s="14"/>
      <c r="O1066" s="21"/>
      <c r="Q1066" s="21"/>
      <c r="R1066" s="21"/>
      <c r="S1066" s="21"/>
      <c r="T1066" s="21"/>
      <c r="Z1066" s="33"/>
    </row>
    <row r="1067" spans="3:26" x14ac:dyDescent="0.2">
      <c r="C1067" s="20"/>
      <c r="D1067" s="20"/>
      <c r="O1067" s="21"/>
      <c r="Q1067" s="21"/>
      <c r="R1067" s="21"/>
      <c r="S1067" s="21"/>
      <c r="T1067" s="21"/>
      <c r="Z1067" s="33"/>
    </row>
    <row r="1068" spans="3:26" x14ac:dyDescent="0.2">
      <c r="C1068" s="20"/>
      <c r="D1068" s="20"/>
      <c r="O1068" s="21"/>
      <c r="Q1068" s="21"/>
      <c r="R1068" s="21"/>
      <c r="S1068" s="21"/>
      <c r="T1068" s="21"/>
      <c r="Z1068" s="33"/>
    </row>
    <row r="1069" spans="3:26" x14ac:dyDescent="0.2">
      <c r="C1069" s="20"/>
      <c r="D1069" s="20"/>
      <c r="O1069" s="21"/>
      <c r="Q1069" s="21"/>
      <c r="R1069" s="21"/>
      <c r="S1069" s="21"/>
      <c r="T1069" s="21"/>
      <c r="Z1069" s="33"/>
    </row>
    <row r="1070" spans="3:26" x14ac:dyDescent="0.2">
      <c r="C1070" s="20"/>
      <c r="D1070" s="20"/>
      <c r="O1070" s="21"/>
      <c r="Q1070" s="21"/>
      <c r="R1070" s="21"/>
      <c r="S1070" s="21"/>
      <c r="T1070" s="21"/>
      <c r="Z1070" s="33"/>
    </row>
    <row r="1071" spans="3:26" x14ac:dyDescent="0.2">
      <c r="C1071" s="14"/>
      <c r="O1071" s="21"/>
      <c r="Q1071" s="21"/>
      <c r="R1071" s="21"/>
      <c r="S1071" s="21"/>
      <c r="T1071" s="21"/>
      <c r="Z1071" s="33"/>
    </row>
    <row r="1072" spans="3:26" x14ac:dyDescent="0.2">
      <c r="C1072" s="14"/>
      <c r="O1072" s="21"/>
      <c r="V1072" s="20"/>
      <c r="Z1072" s="33"/>
    </row>
    <row r="1073" spans="3:26" x14ac:dyDescent="0.2">
      <c r="C1073" s="14"/>
      <c r="O1073" s="21"/>
      <c r="V1073" s="20"/>
      <c r="Z1073" s="33"/>
    </row>
    <row r="1074" spans="3:26" x14ac:dyDescent="0.2">
      <c r="C1074" s="14"/>
      <c r="O1074" s="21"/>
      <c r="V1074" s="20"/>
      <c r="Z1074" s="33"/>
    </row>
    <row r="1075" spans="3:26" x14ac:dyDescent="0.2">
      <c r="C1075" s="14"/>
      <c r="O1075" s="21"/>
      <c r="V1075" s="20"/>
      <c r="Z1075" s="33"/>
    </row>
    <row r="1076" spans="3:26" x14ac:dyDescent="0.2">
      <c r="C1076" s="14"/>
      <c r="V1076" s="20"/>
      <c r="Z1076" s="33"/>
    </row>
    <row r="1077" spans="3:26" x14ac:dyDescent="0.2">
      <c r="C1077" s="14"/>
      <c r="O1077" s="21"/>
      <c r="Q1077" s="21"/>
      <c r="R1077" s="21"/>
      <c r="S1077" s="21"/>
      <c r="T1077" s="21"/>
      <c r="Z1077" s="33"/>
    </row>
    <row r="1078" spans="3:26" x14ac:dyDescent="0.2">
      <c r="C1078" s="14"/>
      <c r="O1078" s="21"/>
      <c r="Q1078" s="21"/>
      <c r="R1078" s="21"/>
      <c r="S1078" s="21"/>
      <c r="T1078" s="21"/>
      <c r="Z1078" s="33"/>
    </row>
    <row r="1079" spans="3:26" x14ac:dyDescent="0.2">
      <c r="C1079" s="14"/>
      <c r="O1079" s="21"/>
      <c r="Q1079" s="21"/>
      <c r="R1079" s="21"/>
      <c r="S1079" s="21"/>
      <c r="T1079" s="21"/>
      <c r="Z1079" s="33"/>
    </row>
    <row r="1080" spans="3:26" ht="16.5" customHeight="1" x14ac:dyDescent="0.2">
      <c r="C1080" s="20"/>
      <c r="D1080" s="20"/>
      <c r="O1080" s="21"/>
      <c r="Q1080" s="21"/>
      <c r="R1080" s="21"/>
      <c r="S1080" s="21"/>
      <c r="T1080" s="21"/>
      <c r="Z1080" s="33"/>
    </row>
    <row r="1081" spans="3:26" x14ac:dyDescent="0.2">
      <c r="C1081" s="14"/>
      <c r="O1081" s="21"/>
      <c r="Q1081" s="21"/>
      <c r="R1081" s="21"/>
      <c r="S1081" s="21"/>
      <c r="T1081" s="21"/>
      <c r="Z1081" s="33"/>
    </row>
    <row r="1082" spans="3:26" x14ac:dyDescent="0.2">
      <c r="C1082" s="14"/>
      <c r="O1082" s="21"/>
      <c r="V1082" s="20"/>
      <c r="Z1082" s="33"/>
    </row>
    <row r="1083" spans="3:26" x14ac:dyDescent="0.2">
      <c r="C1083" s="14"/>
      <c r="O1083" s="21"/>
      <c r="V1083" s="20"/>
      <c r="Z1083" s="33"/>
    </row>
    <row r="1084" spans="3:26" x14ac:dyDescent="0.2">
      <c r="C1084" s="14"/>
      <c r="O1084" s="21"/>
      <c r="Q1084" s="21"/>
      <c r="R1084" s="21"/>
      <c r="S1084" s="21"/>
      <c r="T1084" s="21"/>
      <c r="Z1084" s="33"/>
    </row>
    <row r="1085" spans="3:26" x14ac:dyDescent="0.2">
      <c r="C1085" s="14"/>
      <c r="O1085" s="21"/>
      <c r="Y1085" s="22"/>
      <c r="Z1085" s="33"/>
    </row>
    <row r="1086" spans="3:26" x14ac:dyDescent="0.2">
      <c r="C1086" s="14"/>
      <c r="O1086" s="21"/>
      <c r="V1086" s="20"/>
      <c r="Z1086" s="33"/>
    </row>
    <row r="1087" spans="3:26" x14ac:dyDescent="0.2">
      <c r="C1087" s="14"/>
      <c r="O1087" s="21"/>
      <c r="Z1087" s="33"/>
    </row>
    <row r="1088" spans="3:26" x14ac:dyDescent="0.2">
      <c r="C1088" s="14"/>
      <c r="O1088" s="21"/>
      <c r="Q1088" s="21"/>
      <c r="R1088" s="21"/>
      <c r="S1088" s="21"/>
      <c r="T1088" s="21"/>
      <c r="Z1088" s="46"/>
    </row>
    <row r="1048558" spans="21:21" x14ac:dyDescent="0.2">
      <c r="U1048558" s="20">
        <v>45469</v>
      </c>
    </row>
  </sheetData>
  <autoFilter ref="A1:AB418" xr:uid="{00000000-0009-0000-0000-000000000000}"/>
  <mergeCells count="22">
    <mergeCell ref="G1048:G1049"/>
    <mergeCell ref="H1048:H1049"/>
    <mergeCell ref="X1048:X1049"/>
    <mergeCell ref="A1048:A1049"/>
    <mergeCell ref="C1048:C1049"/>
    <mergeCell ref="D1048:D1049"/>
    <mergeCell ref="E1048:E1049"/>
    <mergeCell ref="F1048:F1049"/>
    <mergeCell ref="X999:X1000"/>
    <mergeCell ref="X1002:X1003"/>
    <mergeCell ref="X705:X708"/>
    <mergeCell ref="X713:X714"/>
    <mergeCell ref="X864:X865"/>
    <mergeCell ref="X885:X886"/>
    <mergeCell ref="X896:X897"/>
    <mergeCell ref="X899:X900"/>
    <mergeCell ref="X989:X990"/>
    <mergeCell ref="X722:X723"/>
    <mergeCell ref="X736:X737"/>
    <mergeCell ref="X739:X740"/>
    <mergeCell ref="X774:X775"/>
    <mergeCell ref="X820:X821"/>
  </mergeCells>
  <conditionalFormatting sqref="G345:H345">
    <cfRule type="duplicateValues" dxfId="1108" priority="451"/>
  </conditionalFormatting>
  <conditionalFormatting sqref="M31:N32">
    <cfRule type="cellIs" dxfId="1107" priority="932" operator="equal">
      <formula>"Investigation Cell"</formula>
    </cfRule>
    <cfRule type="cellIs" dxfId="1106" priority="933" operator="equal">
      <formula>"Under Review"</formula>
    </cfRule>
    <cfRule type="cellIs" dxfId="1105" priority="934" operator="equal">
      <formula>"Pending"</formula>
    </cfRule>
    <cfRule type="cellIs" dxfId="1104" priority="935" operator="equal">
      <formula>"Closed"</formula>
    </cfRule>
  </conditionalFormatting>
  <conditionalFormatting sqref="P203:S203">
    <cfRule type="cellIs" dxfId="1103" priority="1555" operator="equal">
      <formula>"Investigation Cell"</formula>
    </cfRule>
    <cfRule type="cellIs" dxfId="1102" priority="1556" operator="equal">
      <formula>"Under Review"</formula>
    </cfRule>
    <cfRule type="cellIs" dxfId="1101" priority="1557" operator="equal">
      <formula>"Closed"</formula>
    </cfRule>
    <cfRule type="cellIs" dxfId="1100" priority="1558" operator="equal">
      <formula>"Pending"</formula>
    </cfRule>
  </conditionalFormatting>
  <conditionalFormatting sqref="P213:S213">
    <cfRule type="cellIs" dxfId="1099" priority="1539" operator="equal">
      <formula>"Investigation Cell"</formula>
    </cfRule>
    <cfRule type="cellIs" dxfId="1098" priority="1540" operator="equal">
      <formula>"Under Review"</formula>
    </cfRule>
    <cfRule type="cellIs" dxfId="1097" priority="1541" operator="equal">
      <formula>"Closed"</formula>
    </cfRule>
    <cfRule type="cellIs" dxfId="1096" priority="1542" operator="equal">
      <formula>"Pending"</formula>
    </cfRule>
  </conditionalFormatting>
  <conditionalFormatting sqref="P217:S217">
    <cfRule type="cellIs" dxfId="1095" priority="1507" operator="equal">
      <formula>"Investigation Cell"</formula>
    </cfRule>
    <cfRule type="cellIs" dxfId="1094" priority="1508" operator="equal">
      <formula>"Under Review"</formula>
    </cfRule>
    <cfRule type="cellIs" dxfId="1093" priority="1510" operator="equal">
      <formula>"Pending"</formula>
    </cfRule>
    <cfRule type="cellIs" dxfId="1092" priority="1509" operator="equal">
      <formula>"Closed"</formula>
    </cfRule>
  </conditionalFormatting>
  <conditionalFormatting sqref="Q1 Q399:Q401">
    <cfRule type="cellIs" dxfId="1091" priority="8245" operator="equal">
      <formula>"Received"</formula>
    </cfRule>
  </conditionalFormatting>
  <conditionalFormatting sqref="Q13:Q14">
    <cfRule type="cellIs" dxfId="1090" priority="2429" operator="equal">
      <formula>"Received"</formula>
    </cfRule>
  </conditionalFormatting>
  <conditionalFormatting sqref="Q43">
    <cfRule type="cellIs" dxfId="1089" priority="8148" operator="equal">
      <formula>"Received"</formula>
    </cfRule>
  </conditionalFormatting>
  <conditionalFormatting sqref="Q99">
    <cfRule type="cellIs" dxfId="1088" priority="7860" operator="equal">
      <formula>"Received"</formula>
    </cfRule>
  </conditionalFormatting>
  <conditionalFormatting sqref="Q115">
    <cfRule type="cellIs" dxfId="1087" priority="2007" operator="equal">
      <formula>"Received"</formula>
    </cfRule>
  </conditionalFormatting>
  <conditionalFormatting sqref="Q124:Q126">
    <cfRule type="cellIs" dxfId="1086" priority="1937" operator="equal">
      <formula>"Received"</formula>
    </cfRule>
  </conditionalFormatting>
  <conditionalFormatting sqref="Q192:Q193">
    <cfRule type="cellIs" dxfId="1085" priority="1608" operator="equal">
      <formula>"Pending"</formula>
    </cfRule>
  </conditionalFormatting>
  <conditionalFormatting sqref="Q196">
    <cfRule type="cellIs" dxfId="1084" priority="1599" operator="equal">
      <formula>"Closed"</formula>
    </cfRule>
    <cfRule type="cellIs" dxfId="1083" priority="1600" operator="equal">
      <formula>"Pending"</formula>
    </cfRule>
    <cfRule type="cellIs" dxfId="1082" priority="1597" operator="equal">
      <formula>"Investigation Cell"</formula>
    </cfRule>
    <cfRule type="cellIs" dxfId="1081" priority="1598" operator="equal">
      <formula>"Under Review"</formula>
    </cfRule>
  </conditionalFormatting>
  <conditionalFormatting sqref="Q253">
    <cfRule type="cellIs" dxfId="1080" priority="1265" operator="equal">
      <formula>"Closed"</formula>
    </cfRule>
    <cfRule type="cellIs" dxfId="1079" priority="1264" operator="equal">
      <formula>"Under Review"</formula>
    </cfRule>
    <cfRule type="cellIs" dxfId="1078" priority="1263" operator="equal">
      <formula>"Investigation Cell"</formula>
    </cfRule>
  </conditionalFormatting>
  <conditionalFormatting sqref="Q254">
    <cfRule type="cellIs" dxfId="1077" priority="1244" operator="equal">
      <formula>"Received"</formula>
    </cfRule>
  </conditionalFormatting>
  <conditionalFormatting sqref="Q255:Q256">
    <cfRule type="cellIs" dxfId="1076" priority="1172" operator="equal">
      <formula>"Closed"</formula>
    </cfRule>
    <cfRule type="cellIs" dxfId="1075" priority="1171" operator="equal">
      <formula>"Under Review"</formula>
    </cfRule>
    <cfRule type="cellIs" dxfId="1074" priority="1170" operator="equal">
      <formula>"Investigation Cell"</formula>
    </cfRule>
  </conditionalFormatting>
  <conditionalFormatting sqref="Q347:Q348">
    <cfRule type="cellIs" dxfId="1073" priority="430" operator="equal">
      <formula>"Pending"</formula>
    </cfRule>
    <cfRule type="cellIs" dxfId="1072" priority="429" operator="equal">
      <formula>"Received"</formula>
    </cfRule>
  </conditionalFormatting>
  <conditionalFormatting sqref="Q351">
    <cfRule type="cellIs" dxfId="1071" priority="407" operator="equal">
      <formula>"Received"</formula>
    </cfRule>
  </conditionalFormatting>
  <conditionalFormatting sqref="Q352">
    <cfRule type="cellIs" dxfId="1070" priority="384" operator="equal">
      <formula>"Under Review"</formula>
    </cfRule>
    <cfRule type="cellIs" dxfId="1069" priority="383" operator="equal">
      <formula>"Investigation Cell"</formula>
    </cfRule>
    <cfRule type="cellIs" dxfId="1068" priority="385" operator="equal">
      <formula>"Closed"</formula>
    </cfRule>
  </conditionalFormatting>
  <conditionalFormatting sqref="Q353">
    <cfRule type="cellIs" dxfId="1067" priority="381" operator="equal">
      <formula>"Received"</formula>
    </cfRule>
  </conditionalFormatting>
  <conditionalFormatting sqref="Q356">
    <cfRule type="cellIs" dxfId="1066" priority="275" operator="equal">
      <formula>"Investigation Cell"</formula>
    </cfRule>
    <cfRule type="cellIs" dxfId="1065" priority="277" operator="equal">
      <formula>"Closed"</formula>
    </cfRule>
    <cfRule type="cellIs" dxfId="1064" priority="276" operator="equal">
      <formula>"Under Review"</formula>
    </cfRule>
  </conditionalFormatting>
  <conditionalFormatting sqref="Q357:Q360">
    <cfRule type="cellIs" dxfId="1063" priority="335" operator="equal">
      <formula>"Received"</formula>
    </cfRule>
  </conditionalFormatting>
  <conditionalFormatting sqref="Q367:Q368">
    <cfRule type="cellIs" dxfId="1062" priority="303" operator="equal">
      <formula>"Received"</formula>
    </cfRule>
  </conditionalFormatting>
  <conditionalFormatting sqref="Q373:Q375">
    <cfRule type="cellIs" dxfId="1061" priority="249" operator="equal">
      <formula>"Received"</formula>
    </cfRule>
  </conditionalFormatting>
  <conditionalFormatting sqref="Q379">
    <cfRule type="cellIs" dxfId="1060" priority="239" operator="equal">
      <formula>"Received"</formula>
    </cfRule>
  </conditionalFormatting>
  <conditionalFormatting sqref="Q384">
    <cfRule type="cellIs" dxfId="1059" priority="209" operator="equal">
      <formula>"Received"</formula>
    </cfRule>
  </conditionalFormatting>
  <conditionalFormatting sqref="Q386">
    <cfRule type="cellIs" dxfId="1058" priority="191" operator="equal">
      <formula>"Received"</formula>
    </cfRule>
  </conditionalFormatting>
  <conditionalFormatting sqref="Q388">
    <cfRule type="cellIs" dxfId="1057" priority="169" operator="equal">
      <formula>"Received"</formula>
    </cfRule>
  </conditionalFormatting>
  <conditionalFormatting sqref="Q391">
    <cfRule type="cellIs" dxfId="1056" priority="147" operator="equal">
      <formula>"Received"</formula>
    </cfRule>
    <cfRule type="cellIs" dxfId="1055" priority="148" operator="equal">
      <formula>"Pending"</formula>
    </cfRule>
  </conditionalFormatting>
  <conditionalFormatting sqref="Q393:Q394">
    <cfRule type="cellIs" dxfId="1054" priority="123" operator="equal">
      <formula>"Received"</formula>
    </cfRule>
  </conditionalFormatting>
  <conditionalFormatting sqref="Q431:Q435">
    <cfRule type="cellIs" dxfId="1053" priority="6568" operator="equal">
      <formula>"Received"</formula>
    </cfRule>
  </conditionalFormatting>
  <conditionalFormatting sqref="Q443:Q444">
    <cfRule type="cellIs" dxfId="1052" priority="6242" operator="equal">
      <formula>"Received"</formula>
    </cfRule>
  </conditionalFormatting>
  <conditionalFormatting sqref="Q467:Q468 Q470:Q472 Q474:Q475">
    <cfRule type="cellIs" dxfId="1051" priority="6033" operator="equal">
      <formula>"Received"</formula>
    </cfRule>
  </conditionalFormatting>
  <conditionalFormatting sqref="Q478 Q482">
    <cfRule type="cellIs" dxfId="1050" priority="6276" operator="equal">
      <formula>"Received"</formula>
    </cfRule>
  </conditionalFormatting>
  <conditionalFormatting sqref="Q487:Q488 Q490:Q491 Q494:Q496">
    <cfRule type="cellIs" dxfId="1049" priority="6268" operator="equal">
      <formula>"Received"</formula>
    </cfRule>
  </conditionalFormatting>
  <conditionalFormatting sqref="Q510">
    <cfRule type="cellIs" dxfId="1048" priority="6178" operator="equal">
      <formula>"Closed"</formula>
    </cfRule>
    <cfRule type="cellIs" dxfId="1047" priority="6176" operator="equal">
      <formula>"Under Review"</formula>
    </cfRule>
    <cfRule type="cellIs" dxfId="1046" priority="6175" operator="equal">
      <formula>"Investigation Cell"</formula>
    </cfRule>
  </conditionalFormatting>
  <conditionalFormatting sqref="Q511:Q513">
    <cfRule type="cellIs" dxfId="1045" priority="6139" operator="equal">
      <formula>"Received"</formula>
    </cfRule>
  </conditionalFormatting>
  <conditionalFormatting sqref="Q514:Q518">
    <cfRule type="cellIs" dxfId="1044" priority="6130" operator="equal">
      <formula>"Under Review"</formula>
    </cfRule>
    <cfRule type="cellIs" dxfId="1043" priority="6129" operator="equal">
      <formula>"Investigation Cell"</formula>
    </cfRule>
    <cfRule type="cellIs" dxfId="1042" priority="6132" operator="equal">
      <formula>"Closed"</formula>
    </cfRule>
  </conditionalFormatting>
  <conditionalFormatting sqref="Q521:Q522">
    <cfRule type="cellIs" dxfId="1041" priority="6032" operator="equal">
      <formula>"Pending"</formula>
    </cfRule>
    <cfRule type="cellIs" dxfId="1040" priority="6031" operator="equal">
      <formula>"Received"</formula>
    </cfRule>
  </conditionalFormatting>
  <conditionalFormatting sqref="Q533">
    <cfRule type="cellIs" dxfId="1039" priority="5583" operator="equal">
      <formula>"Received"</formula>
    </cfRule>
  </conditionalFormatting>
  <conditionalFormatting sqref="Q535">
    <cfRule type="cellIs" dxfId="1038" priority="6006" operator="equal">
      <formula>"Pending"</formula>
    </cfRule>
    <cfRule type="cellIs" dxfId="1037" priority="6005" operator="equal">
      <formula>"Received"</formula>
    </cfRule>
  </conditionalFormatting>
  <conditionalFormatting sqref="Q600">
    <cfRule type="cellIs" dxfId="1036" priority="5633" operator="equal">
      <formula>"Received"</formula>
    </cfRule>
  </conditionalFormatting>
  <conditionalFormatting sqref="Q600:Q601">
    <cfRule type="cellIs" dxfId="1035" priority="5359" operator="equal">
      <formula>"Pending"</formula>
    </cfRule>
  </conditionalFormatting>
  <conditionalFormatting sqref="Q604">
    <cfRule type="cellIs" dxfId="1034" priority="5577" operator="equal">
      <formula>"Received"</formula>
    </cfRule>
  </conditionalFormatting>
  <conditionalFormatting sqref="Q604:Q627">
    <cfRule type="cellIs" dxfId="1033" priority="5356" operator="equal">
      <formula>"Pending"</formula>
    </cfRule>
  </conditionalFormatting>
  <conditionalFormatting sqref="Q605">
    <cfRule type="cellIs" dxfId="1032" priority="5796" operator="equal">
      <formula>"Closed"</formula>
    </cfRule>
    <cfRule type="cellIs" dxfId="1031" priority="5794" operator="equal">
      <formula>"Under Review"</formula>
    </cfRule>
    <cfRule type="cellIs" dxfId="1030" priority="5793" operator="equal">
      <formula>"Investigation Cell"</formula>
    </cfRule>
  </conditionalFormatting>
  <conditionalFormatting sqref="Q606">
    <cfRule type="cellIs" dxfId="1029" priority="5575" operator="equal">
      <formula>"Received"</formula>
    </cfRule>
  </conditionalFormatting>
  <conditionalFormatting sqref="Q607">
    <cfRule type="cellIs" dxfId="1028" priority="5609" operator="equal">
      <formula>"Investigation Cell"</formula>
    </cfRule>
    <cfRule type="cellIs" dxfId="1027" priority="5610" operator="equal">
      <formula>"Under Review"</formula>
    </cfRule>
    <cfRule type="cellIs" dxfId="1026" priority="5612" operator="equal">
      <formula>"Closed"</formula>
    </cfRule>
  </conditionalFormatting>
  <conditionalFormatting sqref="Q608:Q627">
    <cfRule type="cellIs" dxfId="1025" priority="5355" operator="equal">
      <formula>"Received"</formula>
    </cfRule>
  </conditionalFormatting>
  <conditionalFormatting sqref="Q629">
    <cfRule type="cellIs" dxfId="1024" priority="5354" operator="equal">
      <formula>"Pending"</formula>
    </cfRule>
    <cfRule type="cellIs" dxfId="1023" priority="5353" operator="equal">
      <formula>"Received"</formula>
    </cfRule>
  </conditionalFormatting>
  <conditionalFormatting sqref="Q633">
    <cfRule type="cellIs" dxfId="1022" priority="5331" operator="equal">
      <formula>"Received"</formula>
    </cfRule>
  </conditionalFormatting>
  <conditionalFormatting sqref="Q683:Q685">
    <cfRule type="cellIs" dxfId="1021" priority="4876" operator="equal">
      <formula>"Under Review"</formula>
    </cfRule>
    <cfRule type="cellIs" dxfId="1020" priority="4877" operator="equal">
      <formula>"Pending"</formula>
    </cfRule>
    <cfRule type="cellIs" dxfId="1019" priority="4878" operator="equal">
      <formula>"Closed"</formula>
    </cfRule>
    <cfRule type="cellIs" dxfId="1018" priority="4875" operator="equal">
      <formula>"Investigation Cell"</formula>
    </cfRule>
  </conditionalFormatting>
  <conditionalFormatting sqref="Q709:Q710">
    <cfRule type="cellIs" dxfId="1017" priority="4675" operator="equal">
      <formula>"Investigation Cell"</formula>
    </cfRule>
    <cfRule type="cellIs" dxfId="1016" priority="4678" operator="equal">
      <formula>"Closed"</formula>
    </cfRule>
    <cfRule type="cellIs" dxfId="1015" priority="4677" operator="equal">
      <formula>"Pending"</formula>
    </cfRule>
    <cfRule type="cellIs" dxfId="1014" priority="4676" operator="equal">
      <formula>"Under Review"</formula>
    </cfRule>
  </conditionalFormatting>
  <conditionalFormatting sqref="Q719">
    <cfRule type="cellIs" dxfId="1013" priority="4590" operator="equal">
      <formula>"Closed"</formula>
    </cfRule>
    <cfRule type="cellIs" dxfId="1012" priority="4589" operator="equal">
      <formula>"Pending"</formula>
    </cfRule>
    <cfRule type="cellIs" dxfId="1011" priority="4587" operator="equal">
      <formula>"Investigation Cell"</formula>
    </cfRule>
    <cfRule type="cellIs" dxfId="1010" priority="4588" operator="equal">
      <formula>"Under Review"</formula>
    </cfRule>
  </conditionalFormatting>
  <conditionalFormatting sqref="Q728:Q730">
    <cfRule type="cellIs" dxfId="1009" priority="4497" operator="equal">
      <formula>"Pending"</formula>
    </cfRule>
    <cfRule type="cellIs" dxfId="1008" priority="4495" operator="equal">
      <formula>"Investigation Cell"</formula>
    </cfRule>
    <cfRule type="cellIs" dxfId="1007" priority="4498" operator="equal">
      <formula>"Closed"</formula>
    </cfRule>
    <cfRule type="cellIs" dxfId="1006" priority="4496" operator="equal">
      <formula>"Under Review"</formula>
    </cfRule>
  </conditionalFormatting>
  <conditionalFormatting sqref="Q847:Q855">
    <cfRule type="cellIs" dxfId="1005" priority="3798" operator="equal">
      <formula>"Closed"</formula>
    </cfRule>
    <cfRule type="cellIs" dxfId="1004" priority="3796" operator="equal">
      <formula>"Under Review"</formula>
    </cfRule>
    <cfRule type="cellIs" dxfId="1003" priority="3797" operator="equal">
      <formula>"Pending"</formula>
    </cfRule>
    <cfRule type="cellIs" dxfId="1002" priority="3795" operator="equal">
      <formula>"Investigation Cell"</formula>
    </cfRule>
  </conditionalFormatting>
  <conditionalFormatting sqref="Q864:Q867">
    <cfRule type="cellIs" dxfId="1001" priority="3784" operator="equal">
      <formula>"Under Review"</formula>
    </cfRule>
    <cfRule type="cellIs" dxfId="1000" priority="3785" operator="equal">
      <formula>"Pending"</formula>
    </cfRule>
    <cfRule type="cellIs" dxfId="999" priority="3786" operator="equal">
      <formula>"Closed"</formula>
    </cfRule>
    <cfRule type="cellIs" dxfId="998" priority="3783" operator="equal">
      <formula>"Investigation Cell"</formula>
    </cfRule>
  </conditionalFormatting>
  <conditionalFormatting sqref="Q885:Q886">
    <cfRule type="cellIs" dxfId="997" priority="3653" operator="equal">
      <formula>"Pending"</formula>
    </cfRule>
    <cfRule type="cellIs" dxfId="996" priority="3652" operator="equal">
      <formula>"Under Review"</formula>
    </cfRule>
    <cfRule type="cellIs" dxfId="995" priority="3654" operator="equal">
      <formula>"Closed"</formula>
    </cfRule>
    <cfRule type="cellIs" dxfId="994" priority="3651" operator="equal">
      <formula>"Investigation Cell"</formula>
    </cfRule>
  </conditionalFormatting>
  <conditionalFormatting sqref="Q893">
    <cfRule type="cellIs" dxfId="993" priority="3603" operator="equal">
      <formula>"Investigation Cell"</formula>
    </cfRule>
    <cfRule type="cellIs" dxfId="992" priority="3604" operator="equal">
      <formula>"Under Review"</formula>
    </cfRule>
    <cfRule type="cellIs" dxfId="991" priority="3605" operator="equal">
      <formula>"Pending"</formula>
    </cfRule>
    <cfRule type="cellIs" dxfId="990" priority="3606" operator="equal">
      <formula>"Closed"</formula>
    </cfRule>
  </conditionalFormatting>
  <conditionalFormatting sqref="Q950:Q953">
    <cfRule type="cellIs" dxfId="989" priority="3299" operator="equal">
      <formula>"Investigation Cell"</formula>
    </cfRule>
    <cfRule type="cellIs" dxfId="988" priority="3300" operator="equal">
      <formula>"Under Review"</formula>
    </cfRule>
    <cfRule type="cellIs" dxfId="987" priority="3301" operator="equal">
      <formula>"Pending"</formula>
    </cfRule>
    <cfRule type="cellIs" dxfId="986" priority="3302" operator="equal">
      <formula>"Closed"</formula>
    </cfRule>
  </conditionalFormatting>
  <conditionalFormatting sqref="Q995">
    <cfRule type="cellIs" dxfId="985" priority="3015" operator="equal">
      <formula>"Investigation Cell"</formula>
    </cfRule>
    <cfRule type="cellIs" dxfId="984" priority="3016" operator="equal">
      <formula>"Under Review"</formula>
    </cfRule>
    <cfRule type="cellIs" dxfId="983" priority="3017" operator="equal">
      <formula>"Pending"</formula>
    </cfRule>
    <cfRule type="cellIs" dxfId="982" priority="3018" operator="equal">
      <formula>"Closed"</formula>
    </cfRule>
  </conditionalFormatting>
  <conditionalFormatting sqref="Q12:R12">
    <cfRule type="cellIs" dxfId="981" priority="2438" operator="equal">
      <formula>"Closed"</formula>
    </cfRule>
    <cfRule type="cellIs" dxfId="980" priority="2435" operator="equal">
      <formula>"Investigation Cell"</formula>
    </cfRule>
    <cfRule type="cellIs" dxfId="979" priority="2436" operator="equal">
      <formula>"Under Review"</formula>
    </cfRule>
  </conditionalFormatting>
  <conditionalFormatting sqref="Q114:R114">
    <cfRule type="cellIs" dxfId="978" priority="1997" operator="equal">
      <formula>"Closed"</formula>
    </cfRule>
    <cfRule type="cellIs" dxfId="977" priority="1996" operator="equal">
      <formula>"Under Review"</formula>
    </cfRule>
    <cfRule type="cellIs" dxfId="976" priority="1995" operator="equal">
      <formula>"Investigation Cell"</formula>
    </cfRule>
  </conditionalFormatting>
  <conditionalFormatting sqref="Q127:R127">
    <cfRule type="cellIs" dxfId="975" priority="1926" operator="equal">
      <formula>"Under Review"</formula>
    </cfRule>
    <cfRule type="cellIs" dxfId="974" priority="1927" operator="equal">
      <formula>"Closed"</formula>
    </cfRule>
    <cfRule type="cellIs" dxfId="973" priority="1925" operator="equal">
      <formula>"Investigation Cell"</formula>
    </cfRule>
  </conditionalFormatting>
  <conditionalFormatting sqref="Q186:R187">
    <cfRule type="cellIs" dxfId="972" priority="1621" operator="equal">
      <formula>"Investigation Cell"</formula>
    </cfRule>
    <cfRule type="cellIs" dxfId="971" priority="1622" operator="equal">
      <formula>"Under Review"</formula>
    </cfRule>
    <cfRule type="cellIs" dxfId="970" priority="1623" operator="equal">
      <formula>"Closed"</formula>
    </cfRule>
    <cfRule type="cellIs" dxfId="969" priority="1624" operator="equal">
      <formula>"Pending"</formula>
    </cfRule>
  </conditionalFormatting>
  <conditionalFormatting sqref="Q244:R247">
    <cfRule type="cellIs" dxfId="968" priority="1340" operator="equal">
      <formula>"Received"</formula>
    </cfRule>
  </conditionalFormatting>
  <conditionalFormatting sqref="Q252:R252">
    <cfRule type="cellIs" dxfId="967" priority="1267" operator="equal">
      <formula>"Received"</formula>
    </cfRule>
  </conditionalFormatting>
  <conditionalFormatting sqref="Q258:R260">
    <cfRule type="cellIs" dxfId="966" priority="1215" operator="equal">
      <formula>"Received"</formula>
    </cfRule>
  </conditionalFormatting>
  <conditionalFormatting sqref="Q262:R262">
    <cfRule type="cellIs" dxfId="965" priority="1206" operator="equal">
      <formula>"Received"</formula>
    </cfRule>
  </conditionalFormatting>
  <conditionalFormatting sqref="Q266:R267">
    <cfRule type="cellIs" dxfId="964" priority="1092" operator="equal">
      <formula>"Received"</formula>
    </cfRule>
  </conditionalFormatting>
  <conditionalFormatting sqref="Q269:R273">
    <cfRule type="cellIs" dxfId="963" priority="1038" operator="equal">
      <formula>"Received"</formula>
    </cfRule>
  </conditionalFormatting>
  <conditionalFormatting sqref="Q275:R278">
    <cfRule type="cellIs" dxfId="962" priority="986" operator="equal">
      <formula>"Received"</formula>
    </cfRule>
  </conditionalFormatting>
  <conditionalFormatting sqref="Q280:R280">
    <cfRule type="cellIs" dxfId="961" priority="961" operator="equal">
      <formula>"Received"</formula>
    </cfRule>
  </conditionalFormatting>
  <conditionalFormatting sqref="Q282:R282">
    <cfRule type="cellIs" dxfId="960" priority="952" operator="equal">
      <formula>"Received"</formula>
    </cfRule>
  </conditionalFormatting>
  <conditionalFormatting sqref="Q285:R286">
    <cfRule type="cellIs" dxfId="959" priority="882" operator="equal">
      <formula>"Received"</formula>
    </cfRule>
  </conditionalFormatting>
  <conditionalFormatting sqref="Q289:R290">
    <cfRule type="cellIs" dxfId="958" priority="840" operator="equal">
      <formula>"Received"</formula>
    </cfRule>
  </conditionalFormatting>
  <conditionalFormatting sqref="Q293:R294">
    <cfRule type="cellIs" dxfId="957" priority="822" operator="equal">
      <formula>"Received"</formula>
    </cfRule>
  </conditionalFormatting>
  <conditionalFormatting sqref="Q297:R298">
    <cfRule type="cellIs" dxfId="956" priority="744" operator="equal">
      <formula>"Received"</formula>
    </cfRule>
  </conditionalFormatting>
  <conditionalFormatting sqref="Q304:R304">
    <cfRule type="cellIs" dxfId="955" priority="655" operator="equal">
      <formula>"Received"</formula>
    </cfRule>
  </conditionalFormatting>
  <conditionalFormatting sqref="Q307:R310">
    <cfRule type="cellIs" dxfId="954" priority="594" operator="equal">
      <formula>"Received"</formula>
    </cfRule>
  </conditionalFormatting>
  <conditionalFormatting sqref="Q312:R319">
    <cfRule type="cellIs" dxfId="953" priority="568" operator="equal">
      <formula>"Received"</formula>
    </cfRule>
  </conditionalFormatting>
  <conditionalFormatting sqref="Q367:R368">
    <cfRule type="cellIs" dxfId="952" priority="266" operator="equal">
      <formula>"Pending"</formula>
    </cfRule>
  </conditionalFormatting>
  <conditionalFormatting sqref="Q423:R424">
    <cfRule type="cellIs" dxfId="951" priority="6530" operator="equal">
      <formula>"Received"</formula>
    </cfRule>
  </conditionalFormatting>
  <conditionalFormatting sqref="Q453:R454">
    <cfRule type="cellIs" dxfId="950" priority="6387" operator="equal">
      <formula>"Received"</formula>
    </cfRule>
  </conditionalFormatting>
  <conditionalFormatting sqref="Q458:R458">
    <cfRule type="cellIs" dxfId="949" priority="6384" operator="equal">
      <formula>"Received"</formula>
    </cfRule>
  </conditionalFormatting>
  <conditionalFormatting sqref="Q462:R463">
    <cfRule type="cellIs" dxfId="948" priority="6377" operator="equal">
      <formula>"Received"</formula>
    </cfRule>
  </conditionalFormatting>
  <conditionalFormatting sqref="Q507:R507">
    <cfRule type="cellIs" dxfId="947" priority="6191" operator="equal">
      <formula>"Investigation Cell"</formula>
    </cfRule>
    <cfRule type="cellIs" dxfId="946" priority="6192" operator="equal">
      <formula>"Under Review"</formula>
    </cfRule>
    <cfRule type="cellIs" dxfId="945" priority="6194" operator="equal">
      <formula>"Closed"</formula>
    </cfRule>
  </conditionalFormatting>
  <conditionalFormatting sqref="Q545:R545">
    <cfRule type="cellIs" dxfId="944" priority="5924" operator="equal">
      <formula>"Closed"</formula>
    </cfRule>
    <cfRule type="cellIs" dxfId="943" priority="5922" operator="equal">
      <formula>"Under Review"</formula>
    </cfRule>
    <cfRule type="cellIs" dxfId="942" priority="5921" operator="equal">
      <formula>"Investigation Cell"</formula>
    </cfRule>
  </conditionalFormatting>
  <conditionalFormatting sqref="Q563:R568">
    <cfRule type="cellIs" dxfId="941" priority="5841" operator="equal">
      <formula>"Investigation Cell"</formula>
    </cfRule>
    <cfRule type="cellIs" dxfId="940" priority="5842" operator="equal">
      <formula>"Under Review"</formula>
    </cfRule>
    <cfRule type="cellIs" dxfId="939" priority="5844" operator="equal">
      <formula>"Closed"</formula>
    </cfRule>
  </conditionalFormatting>
  <conditionalFormatting sqref="Q589:R589">
    <cfRule type="cellIs" dxfId="938" priority="5561" operator="equal">
      <formula>"Investigation Cell"</formula>
    </cfRule>
    <cfRule type="cellIs" dxfId="937" priority="5564" operator="equal">
      <formula>"Closed"</formula>
    </cfRule>
    <cfRule type="cellIs" dxfId="936" priority="5562" operator="equal">
      <formula>"Under Review"</formula>
    </cfRule>
  </conditionalFormatting>
  <conditionalFormatting sqref="Q592:R594">
    <cfRule type="cellIs" dxfId="935" priority="4774" operator="equal">
      <formula>"Closed"</formula>
    </cfRule>
    <cfRule type="cellIs" dxfId="934" priority="4772" operator="equal">
      <formula>"Under Review"</formula>
    </cfRule>
    <cfRule type="cellIs" dxfId="933" priority="4771" operator="equal">
      <formula>"Investigation Cell"</formula>
    </cfRule>
  </conditionalFormatting>
  <conditionalFormatting sqref="Q595:R595">
    <cfRule type="cellIs" dxfId="932" priority="5652" operator="equal">
      <formula>"Received"</formula>
    </cfRule>
  </conditionalFormatting>
  <conditionalFormatting sqref="Q596:R596">
    <cfRule type="cellIs" dxfId="931" priority="5579" operator="equal">
      <formula>"Investigation Cell"</formula>
    </cfRule>
    <cfRule type="cellIs" dxfId="930" priority="5580" operator="equal">
      <formula>"Under Review"</formula>
    </cfRule>
    <cfRule type="cellIs" dxfId="929" priority="5582" operator="equal">
      <formula>"Closed"</formula>
    </cfRule>
  </conditionalFormatting>
  <conditionalFormatting sqref="Q636:R641">
    <cfRule type="cellIs" dxfId="928" priority="5172" operator="equal">
      <formula>"Under Review"</formula>
    </cfRule>
    <cfRule type="cellIs" dxfId="927" priority="5171" operator="equal">
      <formula>"Investigation Cell"</formula>
    </cfRule>
    <cfRule type="cellIs" dxfId="926" priority="5174" operator="equal">
      <formula>"Closed"</formula>
    </cfRule>
  </conditionalFormatting>
  <conditionalFormatting sqref="Q647:R649">
    <cfRule type="cellIs" dxfId="925" priority="5162" operator="equal">
      <formula>"Closed"</formula>
    </cfRule>
    <cfRule type="cellIs" dxfId="924" priority="5160" operator="equal">
      <formula>"Under Review"</formula>
    </cfRule>
    <cfRule type="cellIs" dxfId="923" priority="5159" operator="equal">
      <formula>"Investigation Cell"</formula>
    </cfRule>
  </conditionalFormatting>
  <conditionalFormatting sqref="Q660:R661">
    <cfRule type="cellIs" dxfId="922" priority="4926" operator="equal">
      <formula>"Closed"</formula>
    </cfRule>
    <cfRule type="cellIs" dxfId="921" priority="4924" operator="equal">
      <formula>"Under Review"</formula>
    </cfRule>
    <cfRule type="cellIs" dxfId="920" priority="4923" operator="equal">
      <formula>"Investigation Cell"</formula>
    </cfRule>
  </conditionalFormatting>
  <conditionalFormatting sqref="Q696:R701">
    <cfRule type="cellIs" dxfId="919" priority="4610" operator="equal">
      <formula>"Closed"</formula>
    </cfRule>
    <cfRule type="cellIs" dxfId="918" priority="4608" operator="equal">
      <formula>"Under Review"</formula>
    </cfRule>
    <cfRule type="cellIs" dxfId="917" priority="4607" operator="equal">
      <formula>"Investigation Cell"</formula>
    </cfRule>
  </conditionalFormatting>
  <conditionalFormatting sqref="Q761:R761">
    <cfRule type="cellIs" dxfId="916" priority="4252" operator="equal">
      <formula>"Under Review"</formula>
    </cfRule>
    <cfRule type="cellIs" dxfId="915" priority="4254" operator="equal">
      <formula>"Closed"</formula>
    </cfRule>
    <cfRule type="cellIs" dxfId="914" priority="4251" operator="equal">
      <formula>"Investigation Cell"</formula>
    </cfRule>
  </conditionalFormatting>
  <conditionalFormatting sqref="Q785:R785">
    <cfRule type="cellIs" dxfId="913" priority="4178" operator="equal">
      <formula>"Closed"</formula>
    </cfRule>
    <cfRule type="cellIs" dxfId="912" priority="4176" operator="equal">
      <formula>"Under Review"</formula>
    </cfRule>
    <cfRule type="cellIs" dxfId="911" priority="4175" operator="equal">
      <formula>"Investigation Cell"</formula>
    </cfRule>
  </conditionalFormatting>
  <conditionalFormatting sqref="Q794:R795">
    <cfRule type="cellIs" dxfId="910" priority="4147" operator="equal">
      <formula>"Investigation Cell"</formula>
    </cfRule>
    <cfRule type="cellIs" dxfId="909" priority="4148" operator="equal">
      <formula>"Under Review"</formula>
    </cfRule>
    <cfRule type="cellIs" dxfId="908" priority="4150" operator="equal">
      <formula>"Closed"</formula>
    </cfRule>
  </conditionalFormatting>
  <conditionalFormatting sqref="Q803:R803">
    <cfRule type="cellIs" dxfId="907" priority="4100" operator="equal">
      <formula>"Under Review"</formula>
    </cfRule>
    <cfRule type="cellIs" dxfId="906" priority="4099" operator="equal">
      <formula>"Investigation Cell"</formula>
    </cfRule>
    <cfRule type="cellIs" dxfId="905" priority="4102" operator="equal">
      <formula>"Closed"</formula>
    </cfRule>
  </conditionalFormatting>
  <conditionalFormatting sqref="Q840:R841">
    <cfRule type="cellIs" dxfId="904" priority="3936" operator="equal">
      <formula>"Under Review"</formula>
    </cfRule>
    <cfRule type="cellIs" dxfId="903" priority="3938" operator="equal">
      <formula>"Closed"</formula>
    </cfRule>
    <cfRule type="cellIs" dxfId="902" priority="3935" operator="equal">
      <formula>"Investigation Cell"</formula>
    </cfRule>
  </conditionalFormatting>
  <conditionalFormatting sqref="Q1048:R1053">
    <cfRule type="cellIs" dxfId="901" priority="2647" operator="equal">
      <formula>"Investigation Cell"</formula>
    </cfRule>
    <cfRule type="cellIs" dxfId="900" priority="2649" operator="equal">
      <formula>"Pending"</formula>
    </cfRule>
    <cfRule type="cellIs" dxfId="899" priority="2650" operator="equal">
      <formula>"Closed"</formula>
    </cfRule>
    <cfRule type="cellIs" dxfId="898" priority="2648" operator="equal">
      <formula>"Under Review"</formula>
    </cfRule>
  </conditionalFormatting>
  <conditionalFormatting sqref="Q1:S2 S187 S192:S193">
    <cfRule type="cellIs" dxfId="897" priority="2461" operator="equal">
      <formula>"Pending"</formula>
    </cfRule>
  </conditionalFormatting>
  <conditionalFormatting sqref="Q2:S2 S12:S14 S114:S115 S124:S127 S187 S253 S255:S256">
    <cfRule type="cellIs" dxfId="896" priority="2459" operator="equal">
      <formula>"Investigation Cell"</formula>
    </cfRule>
    <cfRule type="cellIs" dxfId="895" priority="2462" operator="equal">
      <formula>"Closed"</formula>
    </cfRule>
    <cfRule type="cellIs" dxfId="894" priority="2460" operator="equal">
      <formula>"Under Review"</formula>
    </cfRule>
  </conditionalFormatting>
  <conditionalFormatting sqref="Q9:S10">
    <cfRule type="cellIs" dxfId="893" priority="2440" operator="equal">
      <formula>"Under Review"</formula>
    </cfRule>
    <cfRule type="cellIs" dxfId="892" priority="2439" operator="equal">
      <formula>"Investigation Cell"</formula>
    </cfRule>
    <cfRule type="cellIs" dxfId="891" priority="2442" operator="equal">
      <formula>"Closed"</formula>
    </cfRule>
    <cfRule type="cellIs" dxfId="890" priority="2441" operator="equal">
      <formula>"Pending"</formula>
    </cfRule>
  </conditionalFormatting>
  <conditionalFormatting sqref="Q12:S14">
    <cfRule type="cellIs" dxfId="889" priority="2430" operator="equal">
      <formula>"Pending"</formula>
    </cfRule>
  </conditionalFormatting>
  <conditionalFormatting sqref="Q19:S20">
    <cfRule type="cellIs" dxfId="888" priority="2405" operator="equal">
      <formula>"Investigation Cell"</formula>
    </cfRule>
    <cfRule type="cellIs" dxfId="887" priority="2406" operator="equal">
      <formula>"Under Review"</formula>
    </cfRule>
    <cfRule type="cellIs" dxfId="886" priority="2407" operator="equal">
      <formula>"Pending"</formula>
    </cfRule>
    <cfRule type="cellIs" dxfId="885" priority="2408" operator="equal">
      <formula>"Closed"</formula>
    </cfRule>
  </conditionalFormatting>
  <conditionalFormatting sqref="Q22:S22">
    <cfRule type="cellIs" dxfId="884" priority="2385" operator="equal">
      <formula>"Investigation Cell"</formula>
    </cfRule>
    <cfRule type="cellIs" dxfId="883" priority="2387" operator="equal">
      <formula>"Pending"</formula>
    </cfRule>
    <cfRule type="cellIs" dxfId="882" priority="2388" operator="equal">
      <formula>"Closed"</formula>
    </cfRule>
    <cfRule type="cellIs" dxfId="881" priority="2386" operator="equal">
      <formula>"Under Review"</formula>
    </cfRule>
  </conditionalFormatting>
  <conditionalFormatting sqref="Q25:S29">
    <cfRule type="cellIs" dxfId="880" priority="2317" operator="equal">
      <formula>"Investigation Cell"</formula>
    </cfRule>
    <cfRule type="cellIs" dxfId="879" priority="2318" operator="equal">
      <formula>"Under Review"</formula>
    </cfRule>
    <cfRule type="cellIs" dxfId="878" priority="2319" operator="equal">
      <formula>"Pending"</formula>
    </cfRule>
    <cfRule type="cellIs" dxfId="877" priority="2320" operator="equal">
      <formula>"Closed"</formula>
    </cfRule>
  </conditionalFormatting>
  <conditionalFormatting sqref="Q31:S35">
    <cfRule type="cellIs" dxfId="876" priority="2312" operator="equal">
      <formula>"Closed"</formula>
    </cfRule>
    <cfRule type="cellIs" dxfId="875" priority="2309" operator="equal">
      <formula>"Investigation Cell"</formula>
    </cfRule>
    <cfRule type="cellIs" dxfId="874" priority="2311" operator="equal">
      <formula>"Pending"</formula>
    </cfRule>
    <cfRule type="cellIs" dxfId="873" priority="2310" operator="equal">
      <formula>"Under Review"</formula>
    </cfRule>
  </conditionalFormatting>
  <conditionalFormatting sqref="Q43:S43">
    <cfRule type="cellIs" dxfId="872" priority="2279" operator="equal">
      <formula>"Pending"</formula>
    </cfRule>
  </conditionalFormatting>
  <conditionalFormatting sqref="Q49:S51">
    <cfRule type="cellIs" dxfId="871" priority="2240" operator="equal">
      <formula>"Closed"</formula>
    </cfRule>
    <cfRule type="cellIs" dxfId="870" priority="2239" operator="equal">
      <formula>"Pending"</formula>
    </cfRule>
    <cfRule type="cellIs" dxfId="869" priority="2238" operator="equal">
      <formula>"Under Review"</formula>
    </cfRule>
    <cfRule type="cellIs" dxfId="868" priority="2237" operator="equal">
      <formula>"Investigation Cell"</formula>
    </cfRule>
  </conditionalFormatting>
  <conditionalFormatting sqref="Q55:S56">
    <cfRule type="cellIs" dxfId="867" priority="2232" operator="equal">
      <formula>"Closed"</formula>
    </cfRule>
    <cfRule type="cellIs" dxfId="866" priority="2231" operator="equal">
      <formula>"Pending"</formula>
    </cfRule>
    <cfRule type="cellIs" dxfId="865" priority="2230" operator="equal">
      <formula>"Under Review"</formula>
    </cfRule>
    <cfRule type="cellIs" dxfId="864" priority="2229" operator="equal">
      <formula>"Investigation Cell"</formula>
    </cfRule>
  </conditionalFormatting>
  <conditionalFormatting sqref="Q58:S58">
    <cfRule type="cellIs" dxfId="863" priority="2228" operator="equal">
      <formula>"Closed"</formula>
    </cfRule>
    <cfRule type="cellIs" dxfId="862" priority="2227" operator="equal">
      <formula>"Pending"</formula>
    </cfRule>
    <cfRule type="cellIs" dxfId="861" priority="2226" operator="equal">
      <formula>"Under Review"</formula>
    </cfRule>
    <cfRule type="cellIs" dxfId="860" priority="2225" operator="equal">
      <formula>"Investigation Cell"</formula>
    </cfRule>
  </conditionalFormatting>
  <conditionalFormatting sqref="Q60:S60">
    <cfRule type="cellIs" dxfId="859" priority="2216" operator="equal">
      <formula>"Closed"</formula>
    </cfRule>
    <cfRule type="cellIs" dxfId="858" priority="2215" operator="equal">
      <formula>"Pending"</formula>
    </cfRule>
    <cfRule type="cellIs" dxfId="857" priority="2214" operator="equal">
      <formula>"Under Review"</formula>
    </cfRule>
    <cfRule type="cellIs" dxfId="856" priority="2213" operator="equal">
      <formula>"Investigation Cell"</formula>
    </cfRule>
  </conditionalFormatting>
  <conditionalFormatting sqref="Q66:S66">
    <cfRule type="cellIs" dxfId="855" priority="2202" operator="equal">
      <formula>"Under Review"</formula>
    </cfRule>
    <cfRule type="cellIs" dxfId="854" priority="2201" operator="equal">
      <formula>"Investigation Cell"</formula>
    </cfRule>
    <cfRule type="cellIs" dxfId="853" priority="2204" operator="equal">
      <formula>"Closed"</formula>
    </cfRule>
    <cfRule type="cellIs" dxfId="852" priority="2203" operator="equal">
      <formula>"Pending"</formula>
    </cfRule>
  </conditionalFormatting>
  <conditionalFormatting sqref="Q69:S69">
    <cfRule type="cellIs" dxfId="851" priority="2194" operator="equal">
      <formula>"Under Review"</formula>
    </cfRule>
    <cfRule type="cellIs" dxfId="850" priority="2193" operator="equal">
      <formula>"Investigation Cell"</formula>
    </cfRule>
    <cfRule type="cellIs" dxfId="849" priority="2196" operator="equal">
      <formula>"Closed"</formula>
    </cfRule>
    <cfRule type="cellIs" dxfId="848" priority="2195" operator="equal">
      <formula>"Pending"</formula>
    </cfRule>
  </conditionalFormatting>
  <conditionalFormatting sqref="Q74:S77">
    <cfRule type="cellIs" dxfId="847" priority="2174" operator="equal">
      <formula>"Under Review"</formula>
    </cfRule>
    <cfRule type="cellIs" dxfId="846" priority="2173" operator="equal">
      <formula>"Investigation Cell"</formula>
    </cfRule>
    <cfRule type="cellIs" dxfId="845" priority="2176" operator="equal">
      <formula>"Closed"</formula>
    </cfRule>
    <cfRule type="cellIs" dxfId="844" priority="2175" operator="equal">
      <formula>"Pending"</formula>
    </cfRule>
  </conditionalFormatting>
  <conditionalFormatting sqref="Q80:S81">
    <cfRule type="cellIs" dxfId="843" priority="2162" operator="equal">
      <formula>"Under Review"</formula>
    </cfRule>
    <cfRule type="cellIs" dxfId="842" priority="2161" operator="equal">
      <formula>"Investigation Cell"</formula>
    </cfRule>
    <cfRule type="cellIs" dxfId="841" priority="2164" operator="equal">
      <formula>"Closed"</formula>
    </cfRule>
    <cfRule type="cellIs" dxfId="840" priority="2163" operator="equal">
      <formula>"Pending"</formula>
    </cfRule>
  </conditionalFormatting>
  <conditionalFormatting sqref="Q84:S84">
    <cfRule type="cellIs" dxfId="839" priority="2146" operator="equal">
      <formula>"Under Review"</formula>
    </cfRule>
    <cfRule type="cellIs" dxfId="838" priority="2145" operator="equal">
      <formula>"Investigation Cell"</formula>
    </cfRule>
    <cfRule type="cellIs" dxfId="837" priority="2148" operator="equal">
      <formula>"Closed"</formula>
    </cfRule>
    <cfRule type="cellIs" dxfId="836" priority="2147" operator="equal">
      <formula>"Pending"</formula>
    </cfRule>
  </conditionalFormatting>
  <conditionalFormatting sqref="Q86:S86">
    <cfRule type="cellIs" dxfId="835" priority="2142" operator="equal">
      <formula>"Under Review"</formula>
    </cfRule>
    <cfRule type="cellIs" dxfId="834" priority="2141" operator="equal">
      <formula>"Investigation Cell"</formula>
    </cfRule>
    <cfRule type="cellIs" dxfId="833" priority="2144" operator="equal">
      <formula>"Closed"</formula>
    </cfRule>
    <cfRule type="cellIs" dxfId="832" priority="2143" operator="equal">
      <formula>"Pending"</formula>
    </cfRule>
  </conditionalFormatting>
  <conditionalFormatting sqref="Q92:S92">
    <cfRule type="cellIs" dxfId="831" priority="2126" operator="equal">
      <formula>"Under Review"</formula>
    </cfRule>
    <cfRule type="cellIs" dxfId="830" priority="2125" operator="equal">
      <formula>"Investigation Cell"</formula>
    </cfRule>
    <cfRule type="cellIs" dxfId="829" priority="2128" operator="equal">
      <formula>"Closed"</formula>
    </cfRule>
    <cfRule type="cellIs" dxfId="828" priority="2127" operator="equal">
      <formula>"Pending"</formula>
    </cfRule>
  </conditionalFormatting>
  <conditionalFormatting sqref="Q95:S96">
    <cfRule type="cellIs" dxfId="827" priority="2017" operator="equal">
      <formula>"Investigation Cell"</formula>
    </cfRule>
    <cfRule type="cellIs" dxfId="826" priority="2020" operator="equal">
      <formula>"Closed"</formula>
    </cfRule>
    <cfRule type="cellIs" dxfId="825" priority="2018" operator="equal">
      <formula>"Under Review"</formula>
    </cfRule>
    <cfRule type="cellIs" dxfId="824" priority="2019" operator="equal">
      <formula>"Pending"</formula>
    </cfRule>
  </conditionalFormatting>
  <conditionalFormatting sqref="Q99:S99">
    <cfRule type="cellIs" dxfId="823" priority="2083" operator="equal">
      <formula>"Pending"</formula>
    </cfRule>
  </conditionalFormatting>
  <conditionalFormatting sqref="Q101:S102">
    <cfRule type="cellIs" dxfId="822" priority="2056" operator="equal">
      <formula>"Pending"</formula>
    </cfRule>
    <cfRule type="cellIs" dxfId="821" priority="2053" operator="equal">
      <formula>"Investigation Cell"</formula>
    </cfRule>
    <cfRule type="cellIs" dxfId="820" priority="2054" operator="equal">
      <formula>"Under Review"</formula>
    </cfRule>
    <cfRule type="cellIs" dxfId="819" priority="2055" operator="equal">
      <formula>"Closed"</formula>
    </cfRule>
  </conditionalFormatting>
  <conditionalFormatting sqref="Q104:S105">
    <cfRule type="cellIs" dxfId="818" priority="1968" operator="equal">
      <formula>"Under Review"</formula>
    </cfRule>
    <cfRule type="cellIs" dxfId="817" priority="1970" operator="equal">
      <formula>"Pending"</formula>
    </cfRule>
    <cfRule type="cellIs" dxfId="816" priority="1969" operator="equal">
      <formula>"Closed"</formula>
    </cfRule>
    <cfRule type="cellIs" dxfId="815" priority="1967" operator="equal">
      <formula>"Investigation Cell"</formula>
    </cfRule>
  </conditionalFormatting>
  <conditionalFormatting sqref="Q111:S111">
    <cfRule type="cellIs" dxfId="814" priority="2030" operator="equal">
      <formula>"Under Review"</formula>
    </cfRule>
    <cfRule type="cellIs" dxfId="813" priority="2029" operator="equal">
      <formula>"Investigation Cell"</formula>
    </cfRule>
    <cfRule type="cellIs" dxfId="812" priority="2031" operator="equal">
      <formula>"Closed"</formula>
    </cfRule>
    <cfRule type="cellIs" dxfId="811" priority="2032" operator="equal">
      <formula>"Pending"</formula>
    </cfRule>
  </conditionalFormatting>
  <conditionalFormatting sqref="Q114:S115">
    <cfRule type="cellIs" dxfId="810" priority="1998" operator="equal">
      <formula>"Pending"</formula>
    </cfRule>
  </conditionalFormatting>
  <conditionalFormatting sqref="Q118:S118">
    <cfRule type="cellIs" dxfId="809" priority="1986" operator="equal">
      <formula>"Pending"</formula>
    </cfRule>
    <cfRule type="cellIs" dxfId="808" priority="1985" operator="equal">
      <formula>"Closed"</formula>
    </cfRule>
    <cfRule type="cellIs" dxfId="807" priority="1984" operator="equal">
      <formula>"Under Review"</formula>
    </cfRule>
    <cfRule type="cellIs" dxfId="806" priority="1983" operator="equal">
      <formula>"Investigation Cell"</formula>
    </cfRule>
  </conditionalFormatting>
  <conditionalFormatting sqref="Q124:S127">
    <cfRule type="cellIs" dxfId="805" priority="1928" operator="equal">
      <formula>"Pending"</formula>
    </cfRule>
  </conditionalFormatting>
  <conditionalFormatting sqref="Q131:S134">
    <cfRule type="cellIs" dxfId="804" priority="1915" operator="equal">
      <formula>"Closed"</formula>
    </cfRule>
    <cfRule type="cellIs" dxfId="803" priority="1916" operator="equal">
      <formula>"Pending"</formula>
    </cfRule>
    <cfRule type="cellIs" dxfId="802" priority="1913" operator="equal">
      <formula>"Investigation Cell"</formula>
    </cfRule>
    <cfRule type="cellIs" dxfId="801" priority="1914" operator="equal">
      <formula>"Under Review"</formula>
    </cfRule>
  </conditionalFormatting>
  <conditionalFormatting sqref="Q137:S137">
    <cfRule type="cellIs" dxfId="800" priority="1908" operator="equal">
      <formula>"Pending"</formula>
    </cfRule>
    <cfRule type="cellIs" dxfId="799" priority="1907" operator="equal">
      <formula>"Closed"</formula>
    </cfRule>
    <cfRule type="cellIs" dxfId="798" priority="1906" operator="equal">
      <formula>"Under Review"</formula>
    </cfRule>
    <cfRule type="cellIs" dxfId="797" priority="1905" operator="equal">
      <formula>"Investigation Cell"</formula>
    </cfRule>
  </conditionalFormatting>
  <conditionalFormatting sqref="Q142:S144">
    <cfRule type="cellIs" dxfId="796" priority="1881" operator="equal">
      <formula>"Investigation Cell"</formula>
    </cfRule>
    <cfRule type="cellIs" dxfId="795" priority="1884" operator="equal">
      <formula>"Pending"</formula>
    </cfRule>
    <cfRule type="cellIs" dxfId="794" priority="1883" operator="equal">
      <formula>"Closed"</formula>
    </cfRule>
    <cfRule type="cellIs" dxfId="793" priority="1882" operator="equal">
      <formula>"Under Review"</formula>
    </cfRule>
  </conditionalFormatting>
  <conditionalFormatting sqref="Q150:S150">
    <cfRule type="cellIs" dxfId="792" priority="1864" operator="equal">
      <formula>"Pending"</formula>
    </cfRule>
    <cfRule type="cellIs" dxfId="791" priority="1863" operator="equal">
      <formula>"Closed"</formula>
    </cfRule>
    <cfRule type="cellIs" dxfId="790" priority="1862" operator="equal">
      <formula>"Under Review"</formula>
    </cfRule>
    <cfRule type="cellIs" dxfId="789" priority="1861" operator="equal">
      <formula>"Investigation Cell"</formula>
    </cfRule>
  </conditionalFormatting>
  <conditionalFormatting sqref="Q152:S152">
    <cfRule type="cellIs" dxfId="788" priority="1860" operator="equal">
      <formula>"Pending"</formula>
    </cfRule>
    <cfRule type="cellIs" dxfId="787" priority="1859" operator="equal">
      <formula>"Closed"</formula>
    </cfRule>
    <cfRule type="cellIs" dxfId="786" priority="1858" operator="equal">
      <formula>"Under Review"</formula>
    </cfRule>
    <cfRule type="cellIs" dxfId="785" priority="1857" operator="equal">
      <formula>"Investigation Cell"</formula>
    </cfRule>
  </conditionalFormatting>
  <conditionalFormatting sqref="Q154:S154">
    <cfRule type="cellIs" dxfId="784" priority="1848" operator="equal">
      <formula>"Pending"</formula>
    </cfRule>
    <cfRule type="cellIs" dxfId="783" priority="1847" operator="equal">
      <formula>"Closed"</formula>
    </cfRule>
    <cfRule type="cellIs" dxfId="782" priority="1846" operator="equal">
      <formula>"Under Review"</formula>
    </cfRule>
    <cfRule type="cellIs" dxfId="781" priority="1845" operator="equal">
      <formula>"Investigation Cell"</formula>
    </cfRule>
  </conditionalFormatting>
  <conditionalFormatting sqref="Q158:S158">
    <cfRule type="cellIs" dxfId="780" priority="1808" operator="equal">
      <formula>"Pending"</formula>
    </cfRule>
    <cfRule type="cellIs" dxfId="779" priority="1807" operator="equal">
      <formula>"Closed"</formula>
    </cfRule>
    <cfRule type="cellIs" dxfId="778" priority="1806" operator="equal">
      <formula>"Under Review"</formula>
    </cfRule>
    <cfRule type="cellIs" dxfId="777" priority="1805" operator="equal">
      <formula>"Investigation Cell"</formula>
    </cfRule>
  </conditionalFormatting>
  <conditionalFormatting sqref="Q162:S163">
    <cfRule type="cellIs" dxfId="776" priority="1790" operator="equal">
      <formula>"Under Review"</formula>
    </cfRule>
    <cfRule type="cellIs" dxfId="775" priority="1791" operator="equal">
      <formula>"Closed"</formula>
    </cfRule>
    <cfRule type="cellIs" dxfId="774" priority="1792" operator="equal">
      <formula>"Pending"</formula>
    </cfRule>
    <cfRule type="cellIs" dxfId="773" priority="1789" operator="equal">
      <formula>"Investigation Cell"</formula>
    </cfRule>
  </conditionalFormatting>
  <conditionalFormatting sqref="Q169:S170">
    <cfRule type="cellIs" dxfId="772" priority="1760" operator="equal">
      <formula>"Pending"</formula>
    </cfRule>
    <cfRule type="cellIs" dxfId="771" priority="1757" operator="equal">
      <formula>"Investigation Cell"</formula>
    </cfRule>
    <cfRule type="cellIs" dxfId="770" priority="1758" operator="equal">
      <formula>"Under Review"</formula>
    </cfRule>
    <cfRule type="cellIs" dxfId="769" priority="1759" operator="equal">
      <formula>"Closed"</formula>
    </cfRule>
  </conditionalFormatting>
  <conditionalFormatting sqref="Q172:S172">
    <cfRule type="cellIs" dxfId="768" priority="1745" operator="equal">
      <formula>"Investigation Cell"</formula>
    </cfRule>
    <cfRule type="cellIs" dxfId="767" priority="1746" operator="equal">
      <formula>"Under Review"</formula>
    </cfRule>
    <cfRule type="cellIs" dxfId="766" priority="1747" operator="equal">
      <formula>"Closed"</formula>
    </cfRule>
    <cfRule type="cellIs" dxfId="765" priority="1748" operator="equal">
      <formula>"Pending"</formula>
    </cfRule>
  </conditionalFormatting>
  <conditionalFormatting sqref="Q174:S178">
    <cfRule type="cellIs" dxfId="764" priority="1681" operator="equal">
      <formula>"Investigation Cell"</formula>
    </cfRule>
    <cfRule type="cellIs" dxfId="763" priority="1683" operator="equal">
      <formula>"Closed"</formula>
    </cfRule>
    <cfRule type="cellIs" dxfId="762" priority="1684" operator="equal">
      <formula>"Pending"</formula>
    </cfRule>
    <cfRule type="cellIs" dxfId="761" priority="1682" operator="equal">
      <formula>"Under Review"</formula>
    </cfRule>
  </conditionalFormatting>
  <conditionalFormatting sqref="Q189:S189">
    <cfRule type="cellIs" dxfId="760" priority="1613" operator="equal">
      <formula>"Investigation Cell"</formula>
    </cfRule>
    <cfRule type="cellIs" dxfId="759" priority="1614" operator="equal">
      <formula>"Under Review"</formula>
    </cfRule>
    <cfRule type="cellIs" dxfId="758" priority="1615" operator="equal">
      <formula>"Closed"</formula>
    </cfRule>
    <cfRule type="cellIs" dxfId="757" priority="1616" operator="equal">
      <formula>"Pending"</formula>
    </cfRule>
  </conditionalFormatting>
  <conditionalFormatting sqref="Q192:S193">
    <cfRule type="cellIs" dxfId="756" priority="1606" operator="equal">
      <formula>"Under Review"</formula>
    </cfRule>
    <cfRule type="cellIs" dxfId="755" priority="1607" operator="equal">
      <formula>"Closed"</formula>
    </cfRule>
    <cfRule type="cellIs" dxfId="754" priority="1605" operator="equal">
      <formula>"Investigation Cell"</formula>
    </cfRule>
  </conditionalFormatting>
  <conditionalFormatting sqref="Q199:S200">
    <cfRule type="cellIs" dxfId="753" priority="1586" operator="equal">
      <formula>"Pending"</formula>
    </cfRule>
    <cfRule type="cellIs" dxfId="752" priority="1585" operator="equal">
      <formula>"Closed"</formula>
    </cfRule>
    <cfRule type="cellIs" dxfId="751" priority="1584" operator="equal">
      <formula>"Under Review"</formula>
    </cfRule>
    <cfRule type="cellIs" dxfId="750" priority="1583" operator="equal">
      <formula>"Investigation Cell"</formula>
    </cfRule>
  </conditionalFormatting>
  <conditionalFormatting sqref="Q221:S223">
    <cfRule type="cellIs" dxfId="749" priority="1454" operator="equal">
      <formula>"Pending"</formula>
    </cfRule>
    <cfRule type="cellIs" dxfId="748" priority="1452" operator="equal">
      <formula>"Under Review"</formula>
    </cfRule>
    <cfRule type="cellIs" dxfId="747" priority="1451" operator="equal">
      <formula>"Investigation Cell"</formula>
    </cfRule>
    <cfRule type="cellIs" dxfId="746" priority="1453" operator="equal">
      <formula>"Closed"</formula>
    </cfRule>
  </conditionalFormatting>
  <conditionalFormatting sqref="Q228:S229">
    <cfRule type="cellIs" dxfId="745" priority="1430" operator="equal">
      <formula>"Pending"</formula>
    </cfRule>
    <cfRule type="cellIs" dxfId="744" priority="1429" operator="equal">
      <formula>"Closed"</formula>
    </cfRule>
    <cfRule type="cellIs" dxfId="743" priority="1428" operator="equal">
      <formula>"Under Review"</formula>
    </cfRule>
    <cfRule type="cellIs" dxfId="742" priority="1427" operator="equal">
      <formula>"Investigation Cell"</formula>
    </cfRule>
  </conditionalFormatting>
  <conditionalFormatting sqref="Q237:S243">
    <cfRule type="cellIs" dxfId="741" priority="1375" operator="equal">
      <formula>"Investigation Cell"</formula>
    </cfRule>
    <cfRule type="cellIs" dxfId="740" priority="1377" operator="equal">
      <formula>"Closed"</formula>
    </cfRule>
    <cfRule type="cellIs" dxfId="739" priority="1376" operator="equal">
      <formula>"Under Review"</formula>
    </cfRule>
  </conditionalFormatting>
  <conditionalFormatting sqref="Q237:S264">
    <cfRule type="cellIs" dxfId="738" priority="1121" operator="equal">
      <formula>"Pending"</formula>
    </cfRule>
  </conditionalFormatting>
  <conditionalFormatting sqref="Q248:S251">
    <cfRule type="cellIs" dxfId="737" priority="1284" operator="equal">
      <formula>"Investigation Cell"</formula>
    </cfRule>
    <cfRule type="cellIs" dxfId="736" priority="1286" operator="equal">
      <formula>"Closed"</formula>
    </cfRule>
    <cfRule type="cellIs" dxfId="735" priority="1285" operator="equal">
      <formula>"Under Review"</formula>
    </cfRule>
  </conditionalFormatting>
  <conditionalFormatting sqref="Q257:S257">
    <cfRule type="cellIs" dxfId="734" priority="1196" operator="equal">
      <formula>"Closed"</formula>
    </cfRule>
    <cfRule type="cellIs" dxfId="733" priority="1194" operator="equal">
      <formula>"Investigation Cell"</formula>
    </cfRule>
    <cfRule type="cellIs" dxfId="732" priority="1195" operator="equal">
      <formula>"Under Review"</formula>
    </cfRule>
  </conditionalFormatting>
  <conditionalFormatting sqref="Q261:S261">
    <cfRule type="cellIs" dxfId="731" priority="1204" operator="equal">
      <formula>"Closed"</formula>
    </cfRule>
    <cfRule type="cellIs" dxfId="730" priority="1203" operator="equal">
      <formula>"Under Review"</formula>
    </cfRule>
    <cfRule type="cellIs" dxfId="729" priority="1202" operator="equal">
      <formula>"Investigation Cell"</formula>
    </cfRule>
  </conditionalFormatting>
  <conditionalFormatting sqref="Q263:S264">
    <cfRule type="cellIs" dxfId="728" priority="1120" operator="equal">
      <formula>"Closed"</formula>
    </cfRule>
    <cfRule type="cellIs" dxfId="727" priority="1118" operator="equal">
      <formula>"Investigation Cell"</formula>
    </cfRule>
    <cfRule type="cellIs" dxfId="726" priority="1119" operator="equal">
      <formula>"Under Review"</formula>
    </cfRule>
  </conditionalFormatting>
  <conditionalFormatting sqref="Q266:S321">
    <cfRule type="cellIs" dxfId="725" priority="316" operator="equal">
      <formula>"Pending"</formula>
    </cfRule>
  </conditionalFormatting>
  <conditionalFormatting sqref="Q268:S268">
    <cfRule type="cellIs" dxfId="724" priority="1080" operator="equal">
      <formula>"Investigation Cell"</formula>
    </cfRule>
    <cfRule type="cellIs" dxfId="723" priority="1082" operator="equal">
      <formula>"Closed"</formula>
    </cfRule>
    <cfRule type="cellIs" dxfId="722" priority="1081" operator="equal">
      <formula>"Under Review"</formula>
    </cfRule>
  </conditionalFormatting>
  <conditionalFormatting sqref="Q274:S274">
    <cfRule type="cellIs" dxfId="721" priority="1028" operator="equal">
      <formula>"Closed"</formula>
    </cfRule>
    <cfRule type="cellIs" dxfId="720" priority="1026" operator="equal">
      <formula>"Investigation Cell"</formula>
    </cfRule>
    <cfRule type="cellIs" dxfId="719" priority="1027" operator="equal">
      <formula>"Under Review"</formula>
    </cfRule>
  </conditionalFormatting>
  <conditionalFormatting sqref="Q279:S279">
    <cfRule type="cellIs" dxfId="718" priority="974" operator="equal">
      <formula>"Investigation Cell"</formula>
    </cfRule>
    <cfRule type="cellIs" dxfId="717" priority="975" operator="equal">
      <formula>"Under Review"</formula>
    </cfRule>
    <cfRule type="cellIs" dxfId="716" priority="976" operator="equal">
      <formula>"Closed"</formula>
    </cfRule>
  </conditionalFormatting>
  <conditionalFormatting sqref="Q281:S281">
    <cfRule type="cellIs" dxfId="715" priority="941" operator="equal">
      <formula>"Under Review"</formula>
    </cfRule>
    <cfRule type="cellIs" dxfId="714" priority="940" operator="equal">
      <formula>"Investigation Cell"</formula>
    </cfRule>
    <cfRule type="cellIs" dxfId="713" priority="942" operator="equal">
      <formula>"Closed"</formula>
    </cfRule>
  </conditionalFormatting>
  <conditionalFormatting sqref="Q283:S284">
    <cfRule type="cellIs" dxfId="712" priority="906" operator="equal">
      <formula>"Closed"</formula>
    </cfRule>
    <cfRule type="cellIs" dxfId="711" priority="905" operator="equal">
      <formula>"Under Review"</formula>
    </cfRule>
    <cfRule type="cellIs" dxfId="710" priority="904" operator="equal">
      <formula>"Investigation Cell"</formula>
    </cfRule>
  </conditionalFormatting>
  <conditionalFormatting sqref="Q287:S288">
    <cfRule type="cellIs" dxfId="709" priority="863" operator="equal">
      <formula>"Under Review"</formula>
    </cfRule>
    <cfRule type="cellIs" dxfId="708" priority="862" operator="equal">
      <formula>"Investigation Cell"</formula>
    </cfRule>
    <cfRule type="cellIs" dxfId="707" priority="864" operator="equal">
      <formula>"Closed"</formula>
    </cfRule>
  </conditionalFormatting>
  <conditionalFormatting sqref="Q291:S292">
    <cfRule type="cellIs" dxfId="706" priority="315" operator="equal">
      <formula>"Closed"</formula>
    </cfRule>
    <cfRule type="cellIs" dxfId="705" priority="314" operator="equal">
      <formula>"Under Review"</formula>
    </cfRule>
    <cfRule type="cellIs" dxfId="704" priority="313" operator="equal">
      <formula>"Investigation Cell"</formula>
    </cfRule>
  </conditionalFormatting>
  <conditionalFormatting sqref="Q295:S296">
    <cfRule type="cellIs" dxfId="703" priority="771" operator="equal">
      <formula>"Under Review"</formula>
    </cfRule>
    <cfRule type="cellIs" dxfId="702" priority="770" operator="equal">
      <formula>"Investigation Cell"</formula>
    </cfRule>
    <cfRule type="cellIs" dxfId="701" priority="772" operator="equal">
      <formula>"Closed"</formula>
    </cfRule>
  </conditionalFormatting>
  <conditionalFormatting sqref="Q299:S303">
    <cfRule type="cellIs" dxfId="700" priority="666" operator="equal">
      <formula>"Closed"</formula>
    </cfRule>
    <cfRule type="cellIs" dxfId="699" priority="665" operator="equal">
      <formula>"Under Review"</formula>
    </cfRule>
    <cfRule type="cellIs" dxfId="698" priority="664" operator="equal">
      <formula>"Investigation Cell"</formula>
    </cfRule>
  </conditionalFormatting>
  <conditionalFormatting sqref="Q305:S306">
    <cfRule type="cellIs" dxfId="697" priority="625" operator="equal">
      <formula>"Closed"</formula>
    </cfRule>
    <cfRule type="cellIs" dxfId="696" priority="624" operator="equal">
      <formula>"Under Review"</formula>
    </cfRule>
    <cfRule type="cellIs" dxfId="695" priority="623" operator="equal">
      <formula>"Investigation Cell"</formula>
    </cfRule>
  </conditionalFormatting>
  <conditionalFormatting sqref="Q311:S311">
    <cfRule type="cellIs" dxfId="694" priority="592" operator="equal">
      <formula>"Closed"</formula>
    </cfRule>
    <cfRule type="cellIs" dxfId="693" priority="591" operator="equal">
      <formula>"Under Review"</formula>
    </cfRule>
    <cfRule type="cellIs" dxfId="692" priority="590" operator="equal">
      <formula>"Investigation Cell"</formula>
    </cfRule>
  </conditionalFormatting>
  <conditionalFormatting sqref="Q320:S321">
    <cfRule type="cellIs" dxfId="691" priority="554" operator="equal">
      <formula>"Closed"</formula>
    </cfRule>
    <cfRule type="cellIs" dxfId="690" priority="553" operator="equal">
      <formula>"Under Review"</formula>
    </cfRule>
    <cfRule type="cellIs" dxfId="689" priority="552" operator="equal">
      <formula>"Investigation Cell"</formula>
    </cfRule>
  </conditionalFormatting>
  <conditionalFormatting sqref="Q323:S323">
    <cfRule type="cellIs" dxfId="688" priority="547" operator="equal">
      <formula>"Pending"</formula>
    </cfRule>
    <cfRule type="cellIs" dxfId="687" priority="546" operator="equal">
      <formula>"Closed"</formula>
    </cfRule>
    <cfRule type="cellIs" dxfId="686" priority="545" operator="equal">
      <formula>"Under Review"</formula>
    </cfRule>
    <cfRule type="cellIs" dxfId="685" priority="544" operator="equal">
      <formula>"Investigation Cell"</formula>
    </cfRule>
  </conditionalFormatting>
  <conditionalFormatting sqref="Q328:S328">
    <cfRule type="cellIs" dxfId="684" priority="516" operator="equal">
      <formula>"Investigation Cell"</formula>
    </cfRule>
    <cfRule type="cellIs" dxfId="683" priority="519" operator="equal">
      <formula>"Pending"</formula>
    </cfRule>
    <cfRule type="cellIs" dxfId="682" priority="518" operator="equal">
      <formula>"Closed"</formula>
    </cfRule>
    <cfRule type="cellIs" dxfId="681" priority="517" operator="equal">
      <formula>"Under Review"</formula>
    </cfRule>
  </conditionalFormatting>
  <conditionalFormatting sqref="Q333:S333">
    <cfRule type="cellIs" dxfId="680" priority="293" operator="equal">
      <formula>"Closed"</formula>
    </cfRule>
    <cfRule type="cellIs" dxfId="679" priority="294" operator="equal">
      <formula>"Pending"</formula>
    </cfRule>
    <cfRule type="cellIs" dxfId="678" priority="291" operator="equal">
      <formula>"Investigation Cell"</formula>
    </cfRule>
    <cfRule type="cellIs" dxfId="677" priority="292" operator="equal">
      <formula>"Under Review"</formula>
    </cfRule>
  </conditionalFormatting>
  <conditionalFormatting sqref="Q337:S337">
    <cfRule type="cellIs" dxfId="676" priority="490" operator="equal">
      <formula>"Closed"</formula>
    </cfRule>
    <cfRule type="cellIs" dxfId="675" priority="491" operator="equal">
      <formula>"Pending"</formula>
    </cfRule>
    <cfRule type="cellIs" dxfId="674" priority="488" operator="equal">
      <formula>"Investigation Cell"</formula>
    </cfRule>
    <cfRule type="cellIs" dxfId="673" priority="489" operator="equal">
      <formula>"Under Review"</formula>
    </cfRule>
  </conditionalFormatting>
  <conditionalFormatting sqref="Q339:S339">
    <cfRule type="cellIs" dxfId="672" priority="471" operator="equal">
      <formula>"Pending"</formula>
    </cfRule>
    <cfRule type="cellIs" dxfId="671" priority="470" operator="equal">
      <formula>"Closed"</formula>
    </cfRule>
    <cfRule type="cellIs" dxfId="670" priority="469" operator="equal">
      <formula>"Under Review"</formula>
    </cfRule>
    <cfRule type="cellIs" dxfId="669" priority="468" operator="equal">
      <formula>"Investigation Cell"</formula>
    </cfRule>
  </conditionalFormatting>
  <conditionalFormatting sqref="Q342:S343">
    <cfRule type="cellIs" dxfId="668" priority="455" operator="equal">
      <formula>"Pending"</formula>
    </cfRule>
    <cfRule type="cellIs" dxfId="667" priority="454" operator="equal">
      <formula>"Closed"</formula>
    </cfRule>
    <cfRule type="cellIs" dxfId="666" priority="453" operator="equal">
      <formula>"Under Review"</formula>
    </cfRule>
    <cfRule type="cellIs" dxfId="665" priority="452" operator="equal">
      <formula>"Investigation Cell"</formula>
    </cfRule>
  </conditionalFormatting>
  <conditionalFormatting sqref="Q351:S353">
    <cfRule type="cellIs" dxfId="664" priority="290" operator="equal">
      <formula>"Pending"</formula>
    </cfRule>
  </conditionalFormatting>
  <conditionalFormatting sqref="Q356:S360">
    <cfRule type="cellIs" dxfId="663" priority="274" operator="equal">
      <formula>"Pending"</formula>
    </cfRule>
  </conditionalFormatting>
  <conditionalFormatting sqref="Q373:S375">
    <cfRule type="cellIs" dxfId="662" priority="244" operator="equal">
      <formula>"Pending"</formula>
    </cfRule>
  </conditionalFormatting>
  <conditionalFormatting sqref="Q379:S379">
    <cfRule type="cellIs" dxfId="661" priority="234" operator="equal">
      <formula>"Pending"</formula>
    </cfRule>
  </conditionalFormatting>
  <conditionalFormatting sqref="Q384:S384">
    <cfRule type="cellIs" dxfId="660" priority="204" operator="equal">
      <formula>"Pending"</formula>
    </cfRule>
  </conditionalFormatting>
  <conditionalFormatting sqref="Q386:S386">
    <cfRule type="cellIs" dxfId="659" priority="186" operator="equal">
      <formula>"Pending"</formula>
    </cfRule>
  </conditionalFormatting>
  <conditionalFormatting sqref="Q388:S388">
    <cfRule type="cellIs" dxfId="658" priority="164" operator="equal">
      <formula>"Pending"</formula>
    </cfRule>
  </conditionalFormatting>
  <conditionalFormatting sqref="Q393:S394">
    <cfRule type="cellIs" dxfId="657" priority="118" operator="equal">
      <formula>"Pending"</formula>
    </cfRule>
  </conditionalFormatting>
  <conditionalFormatting sqref="Q423:S424">
    <cfRule type="cellIs" dxfId="656" priority="6397" operator="equal">
      <formula>"Pending"</formula>
    </cfRule>
  </conditionalFormatting>
  <conditionalFormatting sqref="Q431:S435 R474:S476 Q592:S596">
    <cfRule type="cellIs" dxfId="655" priority="2872" operator="equal">
      <formula>"Pending"</formula>
    </cfRule>
  </conditionalFormatting>
  <conditionalFormatting sqref="Q438:S438">
    <cfRule type="cellIs" dxfId="654" priority="6394" operator="equal">
      <formula>"Pending"</formula>
    </cfRule>
  </conditionalFormatting>
  <conditionalFormatting sqref="Q443:S444">
    <cfRule type="cellIs" dxfId="653" priority="6203" operator="equal">
      <formula>"Pending"</formula>
    </cfRule>
  </conditionalFormatting>
  <conditionalFormatting sqref="Q453:S454">
    <cfRule type="cellIs" dxfId="652" priority="6388" operator="equal">
      <formula>"Pending"</formula>
    </cfRule>
  </conditionalFormatting>
  <conditionalFormatting sqref="Q458:S458">
    <cfRule type="cellIs" dxfId="651" priority="6385" operator="equal">
      <formula>"Pending"</formula>
    </cfRule>
  </conditionalFormatting>
  <conditionalFormatting sqref="Q462:S463">
    <cfRule type="cellIs" dxfId="650" priority="6378" operator="equal">
      <formula>"Pending"</formula>
    </cfRule>
  </conditionalFormatting>
  <conditionalFormatting sqref="Q467:S468 Q470:S472 Q474:Q475">
    <cfRule type="cellIs" dxfId="649" priority="6034" operator="equal">
      <formula>"Pending"</formula>
    </cfRule>
  </conditionalFormatting>
  <conditionalFormatting sqref="Q478:S478">
    <cfRule type="cellIs" dxfId="648" priority="6236" operator="equal">
      <formula>"Pending"</formula>
    </cfRule>
  </conditionalFormatting>
  <conditionalFormatting sqref="Q482:S482">
    <cfRule type="cellIs" dxfId="647" priority="6274" operator="equal">
      <formula>"Pending"</formula>
    </cfRule>
  </conditionalFormatting>
  <conditionalFormatting sqref="Q487:S488">
    <cfRule type="cellIs" dxfId="646" priority="6208" operator="equal">
      <formula>"Pending"</formula>
    </cfRule>
  </conditionalFormatting>
  <conditionalFormatting sqref="Q490:S491">
    <cfRule type="cellIs" dxfId="645" priority="5819" operator="equal">
      <formula>"Pending"</formula>
    </cfRule>
  </conditionalFormatting>
  <conditionalFormatting sqref="Q494:S496">
    <cfRule type="cellIs" dxfId="644" priority="6069" operator="equal">
      <formula>"Pending"</formula>
    </cfRule>
  </conditionalFormatting>
  <conditionalFormatting sqref="Q502:S502">
    <cfRule type="cellIs" dxfId="643" priority="6076" operator="equal">
      <formula>"Under Review"</formula>
    </cfRule>
    <cfRule type="cellIs" dxfId="642" priority="6075" operator="equal">
      <formula>"Investigation Cell"</formula>
    </cfRule>
    <cfRule type="cellIs" dxfId="641" priority="6078" operator="equal">
      <formula>"Closed"</formula>
    </cfRule>
    <cfRule type="cellIs" dxfId="640" priority="6077" operator="equal">
      <formula>"Pending"</formula>
    </cfRule>
  </conditionalFormatting>
  <conditionalFormatting sqref="Q507:S507">
    <cfRule type="cellIs" dxfId="639" priority="5647" operator="equal">
      <formula>"Pending"</formula>
    </cfRule>
  </conditionalFormatting>
  <conditionalFormatting sqref="Q510:S518">
    <cfRule type="cellIs" dxfId="638" priority="6061" operator="equal">
      <formula>"Pending"</formula>
    </cfRule>
  </conditionalFormatting>
  <conditionalFormatting sqref="Q524:S524">
    <cfRule type="cellIs" dxfId="637" priority="6054" operator="equal">
      <formula>"Closed"</formula>
    </cfRule>
    <cfRule type="cellIs" dxfId="636" priority="6053" operator="equal">
      <formula>"Pending"</formula>
    </cfRule>
    <cfRule type="cellIs" dxfId="635" priority="6052" operator="equal">
      <formula>"Under Review"</formula>
    </cfRule>
    <cfRule type="cellIs" dxfId="634" priority="6051" operator="equal">
      <formula>"Investigation Cell"</formula>
    </cfRule>
  </conditionalFormatting>
  <conditionalFormatting sqref="Q527:S528">
    <cfRule type="cellIs" dxfId="633" priority="5814" operator="equal">
      <formula>"Under Review"</formula>
    </cfRule>
    <cfRule type="cellIs" dxfId="632" priority="5816" operator="equal">
      <formula>"Closed"</formula>
    </cfRule>
    <cfRule type="cellIs" dxfId="631" priority="5813" operator="equal">
      <formula>"Investigation Cell"</formula>
    </cfRule>
    <cfRule type="cellIs" dxfId="630" priority="5815" operator="equal">
      <formula>"Pending"</formula>
    </cfRule>
  </conditionalFormatting>
  <conditionalFormatting sqref="Q533:S533">
    <cfRule type="cellIs" dxfId="629" priority="5584" operator="equal">
      <formula>"Pending"</formula>
    </cfRule>
  </conditionalFormatting>
  <conditionalFormatting sqref="Q537:S538">
    <cfRule type="cellIs" dxfId="628" priority="5981" operator="equal">
      <formula>"Investigation Cell"</formula>
    </cfRule>
    <cfRule type="cellIs" dxfId="627" priority="5982" operator="equal">
      <formula>"Under Review"</formula>
    </cfRule>
    <cfRule type="cellIs" dxfId="626" priority="5983" operator="equal">
      <formula>"Pending"</formula>
    </cfRule>
    <cfRule type="cellIs" dxfId="625" priority="5984" operator="equal">
      <formula>"Closed"</formula>
    </cfRule>
  </conditionalFormatting>
  <conditionalFormatting sqref="Q540:S540">
    <cfRule type="cellIs" dxfId="624" priority="5956" operator="equal">
      <formula>"Closed"</formula>
    </cfRule>
    <cfRule type="cellIs" dxfId="623" priority="5955" operator="equal">
      <formula>"Pending"</formula>
    </cfRule>
    <cfRule type="cellIs" dxfId="622" priority="5954" operator="equal">
      <formula>"Under Review"</formula>
    </cfRule>
    <cfRule type="cellIs" dxfId="621" priority="5953" operator="equal">
      <formula>"Investigation Cell"</formula>
    </cfRule>
  </conditionalFormatting>
  <conditionalFormatting sqref="Q545:S545">
    <cfRule type="cellIs" dxfId="620" priority="5923" operator="equal">
      <formula>"Pending"</formula>
    </cfRule>
  </conditionalFormatting>
  <conditionalFormatting sqref="Q553:S553">
    <cfRule type="cellIs" dxfId="619" priority="5885" operator="equal">
      <formula>"Investigation Cell"</formula>
    </cfRule>
    <cfRule type="cellIs" dxfId="618" priority="5886" operator="equal">
      <formula>"Under Review"</formula>
    </cfRule>
    <cfRule type="cellIs" dxfId="617" priority="5888" operator="equal">
      <formula>"Closed"</formula>
    </cfRule>
    <cfRule type="cellIs" dxfId="616" priority="5887" operator="equal">
      <formula>"Pending"</formula>
    </cfRule>
  </conditionalFormatting>
  <conditionalFormatting sqref="Q558:S559">
    <cfRule type="cellIs" dxfId="615" priority="5812" operator="equal">
      <formula>"Closed"</formula>
    </cfRule>
    <cfRule type="cellIs" dxfId="614" priority="5811" operator="equal">
      <formula>"Pending"</formula>
    </cfRule>
    <cfRule type="cellIs" dxfId="613" priority="5810" operator="equal">
      <formula>"Under Review"</formula>
    </cfRule>
    <cfRule type="cellIs" dxfId="612" priority="5809" operator="equal">
      <formula>"Investigation Cell"</formula>
    </cfRule>
  </conditionalFormatting>
  <conditionalFormatting sqref="Q563:S568">
    <cfRule type="cellIs" dxfId="611" priority="5771" operator="equal">
      <formula>"Pending"</formula>
    </cfRule>
  </conditionalFormatting>
  <conditionalFormatting sqref="Q572:S573">
    <cfRule type="cellIs" dxfId="610" priority="5791" operator="equal">
      <formula>"Pending"</formula>
    </cfRule>
    <cfRule type="cellIs" dxfId="609" priority="5792" operator="equal">
      <formula>"Closed"</formula>
    </cfRule>
    <cfRule type="cellIs" dxfId="608" priority="5790" operator="equal">
      <formula>"Under Review"</formula>
    </cfRule>
    <cfRule type="cellIs" dxfId="607" priority="5789" operator="equal">
      <formula>"Investigation Cell"</formula>
    </cfRule>
  </conditionalFormatting>
  <conditionalFormatting sqref="Q586:S587">
    <cfRule type="cellIs" dxfId="606" priority="5550" operator="equal">
      <formula>"Under Review"</formula>
    </cfRule>
    <cfRule type="cellIs" dxfId="605" priority="5549" operator="equal">
      <formula>"Investigation Cell"</formula>
    </cfRule>
    <cfRule type="cellIs" dxfId="604" priority="5551" operator="equal">
      <formula>"Pending"</formula>
    </cfRule>
    <cfRule type="cellIs" dxfId="603" priority="5552" operator="equal">
      <formula>"Closed"</formula>
    </cfRule>
  </conditionalFormatting>
  <conditionalFormatting sqref="Q589:S589">
    <cfRule type="cellIs" dxfId="602" priority="5563" operator="equal">
      <formula>"Pending"</formula>
    </cfRule>
  </conditionalFormatting>
  <conditionalFormatting sqref="Q601:S601">
    <cfRule type="cellIs" dxfId="601" priority="5357" operator="equal">
      <formula>"Investigation Cell"</formula>
    </cfRule>
    <cfRule type="cellIs" dxfId="600" priority="5358" operator="equal">
      <formula>"Under Review"</formula>
    </cfRule>
    <cfRule type="cellIs" dxfId="599" priority="5360" operator="equal">
      <formula>"Closed"</formula>
    </cfRule>
  </conditionalFormatting>
  <conditionalFormatting sqref="Q631:S631">
    <cfRule type="cellIs" dxfId="598" priority="5320" operator="equal">
      <formula>"Under Review"</formula>
    </cfRule>
    <cfRule type="cellIs" dxfId="597" priority="5321" operator="equal">
      <formula>"Pending"</formula>
    </cfRule>
    <cfRule type="cellIs" dxfId="596" priority="5322" operator="equal">
      <formula>"Closed"</formula>
    </cfRule>
    <cfRule type="cellIs" dxfId="595" priority="5319" operator="equal">
      <formula>"Investigation Cell"</formula>
    </cfRule>
  </conditionalFormatting>
  <conditionalFormatting sqref="Q633:S633">
    <cfRule type="cellIs" dxfId="594" priority="5317" operator="equal">
      <formula>"Pending"</formula>
    </cfRule>
  </conditionalFormatting>
  <conditionalFormatting sqref="Q636:S641">
    <cfRule type="cellIs" dxfId="593" priority="5173" operator="equal">
      <formula>"Pending"</formula>
    </cfRule>
  </conditionalFormatting>
  <conditionalFormatting sqref="Q645:S645">
    <cfRule type="cellIs" dxfId="592" priority="5157" operator="equal">
      <formula>"Pending"</formula>
    </cfRule>
    <cfRule type="cellIs" dxfId="591" priority="5158" operator="equal">
      <formula>"Closed"</formula>
    </cfRule>
    <cfRule type="cellIs" dxfId="590" priority="5155" operator="equal">
      <formula>"Investigation Cell"</formula>
    </cfRule>
    <cfRule type="cellIs" dxfId="589" priority="5156" operator="equal">
      <formula>"Under Review"</formula>
    </cfRule>
  </conditionalFormatting>
  <conditionalFormatting sqref="Q647:S649">
    <cfRule type="cellIs" dxfId="588" priority="5161" operator="equal">
      <formula>"Pending"</formula>
    </cfRule>
  </conditionalFormatting>
  <conditionalFormatting sqref="Q653:S653 Q655:R658">
    <cfRule type="cellIs" dxfId="587" priority="5076" operator="equal">
      <formula>"Under Review"</formula>
    </cfRule>
    <cfRule type="cellIs" dxfId="586" priority="5078" operator="equal">
      <formula>"Closed"</formula>
    </cfRule>
    <cfRule type="cellIs" dxfId="585" priority="5075" operator="equal">
      <formula>"Investigation Cell"</formula>
    </cfRule>
  </conditionalFormatting>
  <conditionalFormatting sqref="Q653:S653 Q655:S658">
    <cfRule type="cellIs" dxfId="584" priority="5077" operator="equal">
      <formula>"Pending"</formula>
    </cfRule>
  </conditionalFormatting>
  <conditionalFormatting sqref="Q660:S661">
    <cfRule type="cellIs" dxfId="583" priority="4925" operator="equal">
      <formula>"Pending"</formula>
    </cfRule>
  </conditionalFormatting>
  <conditionalFormatting sqref="Q664:S665 Q667:S667">
    <cfRule type="cellIs" dxfId="582" priority="4908" operator="equal">
      <formula>"Under Review"</formula>
    </cfRule>
    <cfRule type="cellIs" dxfId="581" priority="4909" operator="equal">
      <formula>"Pending"</formula>
    </cfRule>
    <cfRule type="cellIs" dxfId="580" priority="4910" operator="equal">
      <formula>"Closed"</formula>
    </cfRule>
    <cfRule type="cellIs" dxfId="579" priority="4907" operator="equal">
      <formula>"Investigation Cell"</formula>
    </cfRule>
  </conditionalFormatting>
  <conditionalFormatting sqref="Q672:S674">
    <cfRule type="cellIs" dxfId="578" priority="4904" operator="equal">
      <formula>"Under Review"</formula>
    </cfRule>
    <cfRule type="cellIs" dxfId="577" priority="4903" operator="equal">
      <formula>"Investigation Cell"</formula>
    </cfRule>
    <cfRule type="cellIs" dxfId="576" priority="4905" operator="equal">
      <formula>"Pending"</formula>
    </cfRule>
    <cfRule type="cellIs" dxfId="575" priority="4906" operator="equal">
      <formula>"Closed"</formula>
    </cfRule>
  </conditionalFormatting>
  <conditionalFormatting sqref="Q679:S679">
    <cfRule type="cellIs" dxfId="574" priority="4759" operator="equal">
      <formula>"Investigation Cell"</formula>
    </cfRule>
    <cfRule type="cellIs" dxfId="573" priority="4760" operator="equal">
      <formula>"Under Review"</formula>
    </cfRule>
    <cfRule type="cellIs" dxfId="572" priority="4761" operator="equal">
      <formula>"Pending"</formula>
    </cfRule>
    <cfRule type="cellIs" dxfId="571" priority="4762" operator="equal">
      <formula>"Closed"</formula>
    </cfRule>
  </conditionalFormatting>
  <conditionalFormatting sqref="Q693:S693">
    <cfRule type="cellIs" dxfId="570" priority="4745" operator="equal">
      <formula>"Pending"</formula>
    </cfRule>
    <cfRule type="cellIs" dxfId="569" priority="4746" operator="equal">
      <formula>"Closed"</formula>
    </cfRule>
    <cfRule type="cellIs" dxfId="568" priority="4744" operator="equal">
      <formula>"Under Review"</formula>
    </cfRule>
    <cfRule type="cellIs" dxfId="567" priority="4743" operator="equal">
      <formula>"Investigation Cell"</formula>
    </cfRule>
  </conditionalFormatting>
  <conditionalFormatting sqref="Q696:S701">
    <cfRule type="cellIs" dxfId="566" priority="4609" operator="equal">
      <formula>"Pending"</formula>
    </cfRule>
  </conditionalFormatting>
  <conditionalFormatting sqref="Q712:S715">
    <cfRule type="cellIs" dxfId="565" priority="4632" operator="equal">
      <formula>"Under Review"</formula>
    </cfRule>
    <cfRule type="cellIs" dxfId="564" priority="4631" operator="equal">
      <formula>"Investigation Cell"</formula>
    </cfRule>
    <cfRule type="cellIs" dxfId="563" priority="4633" operator="equal">
      <formula>"Pending"</formula>
    </cfRule>
    <cfRule type="cellIs" dxfId="562" priority="4634" operator="equal">
      <formula>"Closed"</formula>
    </cfRule>
  </conditionalFormatting>
  <conditionalFormatting sqref="Q722:S723">
    <cfRule type="cellIs" dxfId="561" priority="4566" operator="equal">
      <formula>"Closed"</formula>
    </cfRule>
    <cfRule type="cellIs" dxfId="560" priority="4565" operator="equal">
      <formula>"Pending"</formula>
    </cfRule>
    <cfRule type="cellIs" dxfId="559" priority="4564" operator="equal">
      <formula>"Under Review"</formula>
    </cfRule>
    <cfRule type="cellIs" dxfId="558" priority="4563" operator="equal">
      <formula>"Investigation Cell"</formula>
    </cfRule>
  </conditionalFormatting>
  <conditionalFormatting sqref="Q733:S734">
    <cfRule type="cellIs" dxfId="557" priority="4407" operator="equal">
      <formula>"Investigation Cell"</formula>
    </cfRule>
    <cfRule type="cellIs" dxfId="556" priority="4410" operator="equal">
      <formula>"Closed"</formula>
    </cfRule>
    <cfRule type="cellIs" dxfId="555" priority="4409" operator="equal">
      <formula>"Pending"</formula>
    </cfRule>
    <cfRule type="cellIs" dxfId="554" priority="4408" operator="equal">
      <formula>"Under Review"</formula>
    </cfRule>
  </conditionalFormatting>
  <conditionalFormatting sqref="Q736:S737">
    <cfRule type="cellIs" dxfId="553" priority="4276" operator="equal">
      <formula>"Under Review"</formula>
    </cfRule>
    <cfRule type="cellIs" dxfId="552" priority="4278" operator="equal">
      <formula>"Closed"</formula>
    </cfRule>
    <cfRule type="cellIs" dxfId="551" priority="4277" operator="equal">
      <formula>"Pending"</formula>
    </cfRule>
    <cfRule type="cellIs" dxfId="550" priority="4275" operator="equal">
      <formula>"Investigation Cell"</formula>
    </cfRule>
  </conditionalFormatting>
  <conditionalFormatting sqref="Q739:S740">
    <cfRule type="cellIs" dxfId="549" priority="4411" operator="equal">
      <formula>"Investigation Cell"</formula>
    </cfRule>
    <cfRule type="cellIs" dxfId="548" priority="4412" operator="equal">
      <formula>"Under Review"</formula>
    </cfRule>
    <cfRule type="cellIs" dxfId="547" priority="4413" operator="equal">
      <formula>"Pending"</formula>
    </cfRule>
    <cfRule type="cellIs" dxfId="546" priority="4414" operator="equal">
      <formula>"Closed"</formula>
    </cfRule>
  </conditionalFormatting>
  <conditionalFormatting sqref="Q742:S742">
    <cfRule type="cellIs" dxfId="545" priority="4383" operator="equal">
      <formula>"Investigation Cell"</formula>
    </cfRule>
    <cfRule type="cellIs" dxfId="544" priority="4385" operator="equal">
      <formula>"Pending"</formula>
    </cfRule>
    <cfRule type="cellIs" dxfId="543" priority="4386" operator="equal">
      <formula>"Closed"</formula>
    </cfRule>
    <cfRule type="cellIs" dxfId="542" priority="4384" operator="equal">
      <formula>"Under Review"</formula>
    </cfRule>
  </conditionalFormatting>
  <conditionalFormatting sqref="Q747:S747">
    <cfRule type="cellIs" dxfId="541" priority="4271" operator="equal">
      <formula>"Investigation Cell"</formula>
    </cfRule>
    <cfRule type="cellIs" dxfId="540" priority="4272" operator="equal">
      <formula>"Under Review"</formula>
    </cfRule>
    <cfRule type="cellIs" dxfId="539" priority="4273" operator="equal">
      <formula>"Pending"</formula>
    </cfRule>
    <cfRule type="cellIs" dxfId="538" priority="4274" operator="equal">
      <formula>"Closed"</formula>
    </cfRule>
  </conditionalFormatting>
  <conditionalFormatting sqref="Q750:S750">
    <cfRule type="cellIs" dxfId="537" priority="4263" operator="equal">
      <formula>"Investigation Cell"</formula>
    </cfRule>
    <cfRule type="cellIs" dxfId="536" priority="4264" operator="equal">
      <formula>"Under Review"</formula>
    </cfRule>
    <cfRule type="cellIs" dxfId="535" priority="4265" operator="equal">
      <formula>"Pending"</formula>
    </cfRule>
    <cfRule type="cellIs" dxfId="534" priority="4266" operator="equal">
      <formula>"Closed"</formula>
    </cfRule>
  </conditionalFormatting>
  <conditionalFormatting sqref="Q752:S752">
    <cfRule type="cellIs" dxfId="533" priority="4257" operator="equal">
      <formula>"Pending"</formula>
    </cfRule>
    <cfRule type="cellIs" dxfId="532" priority="4256" operator="equal">
      <formula>"Under Review"</formula>
    </cfRule>
    <cfRule type="cellIs" dxfId="531" priority="4255" operator="equal">
      <formula>"Investigation Cell"</formula>
    </cfRule>
    <cfRule type="cellIs" dxfId="530" priority="4258" operator="equal">
      <formula>"Closed"</formula>
    </cfRule>
  </conditionalFormatting>
  <conditionalFormatting sqref="Q754:S757">
    <cfRule type="cellIs" dxfId="529" priority="4289" operator="equal">
      <formula>"Pending"</formula>
    </cfRule>
    <cfRule type="cellIs" dxfId="528" priority="4287" operator="equal">
      <formula>"Investigation Cell"</formula>
    </cfRule>
    <cfRule type="cellIs" dxfId="527" priority="4288" operator="equal">
      <formula>"Under Review"</formula>
    </cfRule>
    <cfRule type="cellIs" dxfId="526" priority="4290" operator="equal">
      <formula>"Closed"</formula>
    </cfRule>
  </conditionalFormatting>
  <conditionalFormatting sqref="Q761:S761 R764:S764 Q783:S792 Q803:S803">
    <cfRule type="cellIs" dxfId="525" priority="2874" operator="equal">
      <formula>"Pending"</formula>
    </cfRule>
  </conditionalFormatting>
  <conditionalFormatting sqref="Q769:S769">
    <cfRule type="cellIs" dxfId="524" priority="4210" operator="equal">
      <formula>"Closed"</formula>
    </cfRule>
    <cfRule type="cellIs" dxfId="523" priority="4209" operator="equal">
      <formula>"Pending"</formula>
    </cfRule>
    <cfRule type="cellIs" dxfId="522" priority="4208" operator="equal">
      <formula>"Under Review"</formula>
    </cfRule>
    <cfRule type="cellIs" dxfId="521" priority="4207" operator="equal">
      <formula>"Investigation Cell"</formula>
    </cfRule>
  </conditionalFormatting>
  <conditionalFormatting sqref="Q774:S775">
    <cfRule type="cellIs" dxfId="520" priority="4174" operator="equal">
      <formula>"Closed"</formula>
    </cfRule>
    <cfRule type="cellIs" dxfId="519" priority="4173" operator="equal">
      <formula>"Pending"</formula>
    </cfRule>
    <cfRule type="cellIs" dxfId="518" priority="4172" operator="equal">
      <formula>"Under Review"</formula>
    </cfRule>
    <cfRule type="cellIs" dxfId="517" priority="4171" operator="equal">
      <formula>"Investigation Cell"</formula>
    </cfRule>
  </conditionalFormatting>
  <conditionalFormatting sqref="Q778:S778">
    <cfRule type="cellIs" dxfId="516" priority="4034" operator="equal">
      <formula>"Closed"</formula>
    </cfRule>
    <cfRule type="cellIs" dxfId="515" priority="4031" operator="equal">
      <formula>"Investigation Cell"</formula>
    </cfRule>
    <cfRule type="cellIs" dxfId="514" priority="4032" operator="equal">
      <formula>"Under Review"</formula>
    </cfRule>
    <cfRule type="cellIs" dxfId="513" priority="4033" operator="equal">
      <formula>"Pending"</formula>
    </cfRule>
  </conditionalFormatting>
  <conditionalFormatting sqref="Q780:S781">
    <cfRule type="cellIs" dxfId="512" priority="4027" operator="equal">
      <formula>"Investigation Cell"</formula>
    </cfRule>
    <cfRule type="cellIs" dxfId="511" priority="4028" operator="equal">
      <formula>"Under Review"</formula>
    </cfRule>
    <cfRule type="cellIs" dxfId="510" priority="4029" operator="equal">
      <formula>"Pending"</formula>
    </cfRule>
    <cfRule type="cellIs" dxfId="509" priority="4030" operator="equal">
      <formula>"Closed"</formula>
    </cfRule>
  </conditionalFormatting>
  <conditionalFormatting sqref="Q783:S784">
    <cfRule type="cellIs" dxfId="508" priority="3898" operator="equal">
      <formula>"Closed"</formula>
    </cfRule>
    <cfRule type="cellIs" dxfId="507" priority="3896" operator="equal">
      <formula>"Under Review"</formula>
    </cfRule>
    <cfRule type="cellIs" dxfId="506" priority="3895" operator="equal">
      <formula>"Investigation Cell"</formula>
    </cfRule>
  </conditionalFormatting>
  <conditionalFormatting sqref="Q786:S792">
    <cfRule type="cellIs" dxfId="505" priority="4026" operator="equal">
      <formula>"Closed"</formula>
    </cfRule>
    <cfRule type="cellIs" dxfId="504" priority="4023" operator="equal">
      <formula>"Investigation Cell"</formula>
    </cfRule>
    <cfRule type="cellIs" dxfId="503" priority="4024" operator="equal">
      <formula>"Under Review"</formula>
    </cfRule>
  </conditionalFormatting>
  <conditionalFormatting sqref="Q794:S795 R844:S844">
    <cfRule type="cellIs" dxfId="502" priority="2871" operator="equal">
      <formula>"Pending"</formula>
    </cfRule>
  </conditionalFormatting>
  <conditionalFormatting sqref="Q810:S813">
    <cfRule type="cellIs" dxfId="501" priority="4012" operator="equal">
      <formula>"Under Review"</formula>
    </cfRule>
    <cfRule type="cellIs" dxfId="500" priority="4011" operator="equal">
      <formula>"Investigation Cell"</formula>
    </cfRule>
    <cfRule type="cellIs" dxfId="499" priority="4013" operator="equal">
      <formula>"Pending"</formula>
    </cfRule>
    <cfRule type="cellIs" dxfId="498" priority="4014" operator="equal">
      <formula>"Closed"</formula>
    </cfRule>
  </conditionalFormatting>
  <conditionalFormatting sqref="Q818:S821 Q823:S823 Q831:R831">
    <cfRule type="cellIs" dxfId="497" priority="3998" operator="equal">
      <formula>"Closed"</formula>
    </cfRule>
    <cfRule type="cellIs" dxfId="496" priority="3995" operator="equal">
      <formula>"Investigation Cell"</formula>
    </cfRule>
    <cfRule type="cellIs" dxfId="495" priority="3996" operator="equal">
      <formula>"Under Review"</formula>
    </cfRule>
  </conditionalFormatting>
  <conditionalFormatting sqref="Q818:S821 Q823:S823">
    <cfRule type="cellIs" dxfId="494" priority="3997" operator="equal">
      <formula>"Pending"</formula>
    </cfRule>
  </conditionalFormatting>
  <conditionalFormatting sqref="Q831:S831 Q840:S841">
    <cfRule type="cellIs" dxfId="493" priority="2873" operator="equal">
      <formula>"Pending"</formula>
    </cfRule>
  </conditionalFormatting>
  <conditionalFormatting sqref="Q834:S834">
    <cfRule type="cellIs" dxfId="492" priority="3976" operator="equal">
      <formula>"Under Review"</formula>
    </cfRule>
    <cfRule type="cellIs" dxfId="491" priority="3977" operator="equal">
      <formula>"Pending"</formula>
    </cfRule>
    <cfRule type="cellIs" dxfId="490" priority="3978" operator="equal">
      <formula>"Closed"</formula>
    </cfRule>
    <cfRule type="cellIs" dxfId="489" priority="3975" operator="equal">
      <formula>"Investigation Cell"</formula>
    </cfRule>
  </conditionalFormatting>
  <conditionalFormatting sqref="Q857:S858">
    <cfRule type="cellIs" dxfId="488" priority="3806" operator="equal">
      <formula>"Closed"</formula>
    </cfRule>
    <cfRule type="cellIs" dxfId="487" priority="3803" operator="equal">
      <formula>"Investigation Cell"</formula>
    </cfRule>
    <cfRule type="cellIs" dxfId="486" priority="3804" operator="equal">
      <formula>"Under Review"</formula>
    </cfRule>
    <cfRule type="cellIs" dxfId="485" priority="3805" operator="equal">
      <formula>"Pending"</formula>
    </cfRule>
  </conditionalFormatting>
  <conditionalFormatting sqref="Q860:S861">
    <cfRule type="cellIs" dxfId="484" priority="3844" operator="equal">
      <formula>"Under Review"</formula>
    </cfRule>
    <cfRule type="cellIs" dxfId="483" priority="3843" operator="equal">
      <formula>"Investigation Cell"</formula>
    </cfRule>
    <cfRule type="cellIs" dxfId="482" priority="3846" operator="equal">
      <formula>"Closed"</formula>
    </cfRule>
    <cfRule type="cellIs" dxfId="481" priority="3845" operator="equal">
      <formula>"Pending"</formula>
    </cfRule>
  </conditionalFormatting>
  <conditionalFormatting sqref="Q871:S872">
    <cfRule type="cellIs" dxfId="480" priority="3698" operator="equal">
      <formula>"Closed"</formula>
    </cfRule>
    <cfRule type="cellIs" dxfId="479" priority="3697" operator="equal">
      <formula>"Pending"</formula>
    </cfRule>
    <cfRule type="cellIs" dxfId="478" priority="3696" operator="equal">
      <formula>"Under Review"</formula>
    </cfRule>
    <cfRule type="cellIs" dxfId="477" priority="3695" operator="equal">
      <formula>"Investigation Cell"</formula>
    </cfRule>
  </conditionalFormatting>
  <conditionalFormatting sqref="Q875:S876">
    <cfRule type="cellIs" dxfId="476" priority="3681" operator="equal">
      <formula>"Pending"</formula>
    </cfRule>
    <cfRule type="cellIs" dxfId="475" priority="3679" operator="equal">
      <formula>"Investigation Cell"</formula>
    </cfRule>
    <cfRule type="cellIs" dxfId="474" priority="3680" operator="equal">
      <formula>"Under Review"</formula>
    </cfRule>
    <cfRule type="cellIs" dxfId="473" priority="3682" operator="equal">
      <formula>"Closed"</formula>
    </cfRule>
  </conditionalFormatting>
  <conditionalFormatting sqref="Q896:S897 Q899:Q900">
    <cfRule type="cellIs" dxfId="472" priority="3531" operator="equal">
      <formula>"Investigation Cell"</formula>
    </cfRule>
    <cfRule type="cellIs" dxfId="471" priority="3532" operator="equal">
      <formula>"Under Review"</formula>
    </cfRule>
    <cfRule type="cellIs" dxfId="470" priority="3533" operator="equal">
      <formula>"Pending"</formula>
    </cfRule>
    <cfRule type="cellIs" dxfId="469" priority="3534" operator="equal">
      <formula>"Closed"</formula>
    </cfRule>
  </conditionalFormatting>
  <conditionalFormatting sqref="Q908:S908">
    <cfRule type="cellIs" dxfId="468" priority="3507" operator="equal">
      <formula>"Investigation Cell"</formula>
    </cfRule>
    <cfRule type="cellIs" dxfId="467" priority="3508" operator="equal">
      <formula>"Under Review"</formula>
    </cfRule>
    <cfRule type="cellIs" dxfId="466" priority="3509" operator="equal">
      <formula>"Pending"</formula>
    </cfRule>
    <cfRule type="cellIs" dxfId="465" priority="3510" operator="equal">
      <formula>"Closed"</formula>
    </cfRule>
  </conditionalFormatting>
  <conditionalFormatting sqref="Q912:S912">
    <cfRule type="cellIs" dxfId="464" priority="3487" operator="equal">
      <formula>"Investigation Cell"</formula>
    </cfRule>
    <cfRule type="cellIs" dxfId="463" priority="3488" operator="equal">
      <formula>"Under Review"</formula>
    </cfRule>
    <cfRule type="cellIs" dxfId="462" priority="3489" operator="equal">
      <formula>"Pending"</formula>
    </cfRule>
    <cfRule type="cellIs" dxfId="461" priority="3490" operator="equal">
      <formula>"Closed"</formula>
    </cfRule>
  </conditionalFormatting>
  <conditionalFormatting sqref="Q916:S918">
    <cfRule type="cellIs" dxfId="460" priority="3451" operator="equal">
      <formula>"Investigation Cell"</formula>
    </cfRule>
    <cfRule type="cellIs" dxfId="459" priority="3453" operator="equal">
      <formula>"Pending"</formula>
    </cfRule>
    <cfRule type="cellIs" dxfId="458" priority="3454" operator="equal">
      <formula>"Closed"</formula>
    </cfRule>
    <cfRule type="cellIs" dxfId="457" priority="3452" operator="equal">
      <formula>"Under Review"</formula>
    </cfRule>
  </conditionalFormatting>
  <conditionalFormatting sqref="Q935:S937">
    <cfRule type="cellIs" dxfId="456" priority="3391" operator="equal">
      <formula>"Investigation Cell"</formula>
    </cfRule>
    <cfRule type="cellIs" dxfId="455" priority="3392" operator="equal">
      <formula>"Under Review"</formula>
    </cfRule>
    <cfRule type="cellIs" dxfId="454" priority="3393" operator="equal">
      <formula>"Pending"</formula>
    </cfRule>
    <cfRule type="cellIs" dxfId="453" priority="3394" operator="equal">
      <formula>"Closed"</formula>
    </cfRule>
  </conditionalFormatting>
  <conditionalFormatting sqref="Q946:S946">
    <cfRule type="cellIs" dxfId="452" priority="2704" operator="equal">
      <formula>"Under Review"</formula>
    </cfRule>
    <cfRule type="cellIs" dxfId="451" priority="2703" operator="equal">
      <formula>"Investigation Cell"</formula>
    </cfRule>
    <cfRule type="cellIs" dxfId="450" priority="2706" operator="equal">
      <formula>"Closed"</formula>
    </cfRule>
    <cfRule type="cellIs" dxfId="449" priority="2705" operator="equal">
      <formula>"Pending"</formula>
    </cfRule>
  </conditionalFormatting>
  <conditionalFormatting sqref="Q955:S956">
    <cfRule type="cellIs" dxfId="448" priority="3275" operator="equal">
      <formula>"Investigation Cell"</formula>
    </cfRule>
    <cfRule type="cellIs" dxfId="447" priority="3278" operator="equal">
      <formula>"Closed"</formula>
    </cfRule>
    <cfRule type="cellIs" dxfId="446" priority="3277" operator="equal">
      <formula>"Pending"</formula>
    </cfRule>
    <cfRule type="cellIs" dxfId="445" priority="3276" operator="equal">
      <formula>"Under Review"</formula>
    </cfRule>
  </conditionalFormatting>
  <conditionalFormatting sqref="Q960:S964">
    <cfRule type="cellIs" dxfId="444" priority="2877" operator="equal">
      <formula>"Pending"</formula>
    </cfRule>
    <cfRule type="cellIs" dxfId="443" priority="2875" operator="equal">
      <formula>"Investigation Cell"</formula>
    </cfRule>
    <cfRule type="cellIs" dxfId="442" priority="2876" operator="equal">
      <formula>"Under Review"</formula>
    </cfRule>
    <cfRule type="cellIs" dxfId="441" priority="2878" operator="equal">
      <formula>"Closed"</formula>
    </cfRule>
  </conditionalFormatting>
  <conditionalFormatting sqref="Q966:S967">
    <cfRule type="cellIs" dxfId="440" priority="3210" operator="equal">
      <formula>"Closed"</formula>
    </cfRule>
    <cfRule type="cellIs" dxfId="439" priority="3207" operator="equal">
      <formula>"Investigation Cell"</formula>
    </cfRule>
    <cfRule type="cellIs" dxfId="438" priority="3208" operator="equal">
      <formula>"Under Review"</formula>
    </cfRule>
    <cfRule type="cellIs" dxfId="437" priority="3209" operator="equal">
      <formula>"Pending"</formula>
    </cfRule>
  </conditionalFormatting>
  <conditionalFormatting sqref="Q969:S969">
    <cfRule type="cellIs" dxfId="436" priority="3186" operator="equal">
      <formula>"Closed"</formula>
    </cfRule>
    <cfRule type="cellIs" dxfId="435" priority="3185" operator="equal">
      <formula>"Pending"</formula>
    </cfRule>
    <cfRule type="cellIs" dxfId="434" priority="3184" operator="equal">
      <formula>"Under Review"</formula>
    </cfRule>
    <cfRule type="cellIs" dxfId="433" priority="3183" operator="equal">
      <formula>"Investigation Cell"</formula>
    </cfRule>
  </conditionalFormatting>
  <conditionalFormatting sqref="Q971:S975">
    <cfRule type="cellIs" dxfId="432" priority="3144" operator="equal">
      <formula>"Under Review"</formula>
    </cfRule>
    <cfRule type="cellIs" dxfId="431" priority="3145" operator="equal">
      <formula>"Pending"</formula>
    </cfRule>
    <cfRule type="cellIs" dxfId="430" priority="3146" operator="equal">
      <formula>"Closed"</formula>
    </cfRule>
    <cfRule type="cellIs" dxfId="429" priority="3143" operator="equal">
      <formula>"Investigation Cell"</formula>
    </cfRule>
  </conditionalFormatting>
  <conditionalFormatting sqref="Q977:S978">
    <cfRule type="cellIs" dxfId="428" priority="3130" operator="equal">
      <formula>"Closed"</formula>
    </cfRule>
    <cfRule type="cellIs" dxfId="427" priority="3129" operator="equal">
      <formula>"Pending"</formula>
    </cfRule>
    <cfRule type="cellIs" dxfId="426" priority="3128" operator="equal">
      <formula>"Under Review"</formula>
    </cfRule>
    <cfRule type="cellIs" dxfId="425" priority="3127" operator="equal">
      <formula>"Investigation Cell"</formula>
    </cfRule>
  </conditionalFormatting>
  <conditionalFormatting sqref="Q980:S981">
    <cfRule type="cellIs" dxfId="424" priority="3086" operator="equal">
      <formula>"Closed"</formula>
    </cfRule>
    <cfRule type="cellIs" dxfId="423" priority="3085" operator="equal">
      <formula>"Pending"</formula>
    </cfRule>
    <cfRule type="cellIs" dxfId="422" priority="3084" operator="equal">
      <formula>"Under Review"</formula>
    </cfRule>
    <cfRule type="cellIs" dxfId="421" priority="3083" operator="equal">
      <formula>"Investigation Cell"</formula>
    </cfRule>
  </conditionalFormatting>
  <conditionalFormatting sqref="Q984:S984">
    <cfRule type="cellIs" dxfId="420" priority="3066" operator="equal">
      <formula>"Closed"</formula>
    </cfRule>
    <cfRule type="cellIs" dxfId="419" priority="3065" operator="equal">
      <formula>"Pending"</formula>
    </cfRule>
    <cfRule type="cellIs" dxfId="418" priority="3064" operator="equal">
      <formula>"Under Review"</formula>
    </cfRule>
    <cfRule type="cellIs" dxfId="417" priority="3063" operator="equal">
      <formula>"Investigation Cell"</formula>
    </cfRule>
  </conditionalFormatting>
  <conditionalFormatting sqref="Q988:S990">
    <cfRule type="cellIs" dxfId="416" priority="3046" operator="equal">
      <formula>"Closed"</formula>
    </cfRule>
    <cfRule type="cellIs" dxfId="415" priority="3045" operator="equal">
      <formula>"Pending"</formula>
    </cfRule>
    <cfRule type="cellIs" dxfId="414" priority="3044" operator="equal">
      <formula>"Under Review"</formula>
    </cfRule>
    <cfRule type="cellIs" dxfId="413" priority="3043" operator="equal">
      <formula>"Investigation Cell"</formula>
    </cfRule>
  </conditionalFormatting>
  <conditionalFormatting sqref="Q993:S993">
    <cfRule type="cellIs" dxfId="412" priority="3029" operator="equal">
      <formula>"Pending"</formula>
    </cfRule>
    <cfRule type="cellIs" dxfId="411" priority="3028" operator="equal">
      <formula>"Under Review"</formula>
    </cfRule>
    <cfRule type="cellIs" dxfId="410" priority="3027" operator="equal">
      <formula>"Investigation Cell"</formula>
    </cfRule>
    <cfRule type="cellIs" dxfId="409" priority="3030" operator="equal">
      <formula>"Closed"</formula>
    </cfRule>
  </conditionalFormatting>
  <conditionalFormatting sqref="Q998:S1004">
    <cfRule type="cellIs" dxfId="408" priority="2998" operator="equal">
      <formula>"Closed"</formula>
    </cfRule>
    <cfRule type="cellIs" dxfId="407" priority="2997" operator="equal">
      <formula>"Pending"</formula>
    </cfRule>
    <cfRule type="cellIs" dxfId="406" priority="2996" operator="equal">
      <formula>"Under Review"</formula>
    </cfRule>
    <cfRule type="cellIs" dxfId="405" priority="2995" operator="equal">
      <formula>"Investigation Cell"</formula>
    </cfRule>
  </conditionalFormatting>
  <conditionalFormatting sqref="Q1013:S1013">
    <cfRule type="cellIs" dxfId="404" priority="2974" operator="equal">
      <formula>"Closed"</formula>
    </cfRule>
    <cfRule type="cellIs" dxfId="403" priority="2973" operator="equal">
      <formula>"Pending"</formula>
    </cfRule>
    <cfRule type="cellIs" dxfId="402" priority="2972" operator="equal">
      <formula>"Under Review"</formula>
    </cfRule>
    <cfRule type="cellIs" dxfId="401" priority="2971" operator="equal">
      <formula>"Investigation Cell"</formula>
    </cfRule>
  </conditionalFormatting>
  <conditionalFormatting sqref="Q1016:S1016">
    <cfRule type="cellIs" dxfId="400" priority="2954" operator="equal">
      <formula>"Closed"</formula>
    </cfRule>
    <cfRule type="cellIs" dxfId="399" priority="2953" operator="equal">
      <formula>"Pending"</formula>
    </cfRule>
    <cfRule type="cellIs" dxfId="398" priority="2952" operator="equal">
      <formula>"Under Review"</formula>
    </cfRule>
    <cfRule type="cellIs" dxfId="397" priority="2951" operator="equal">
      <formula>"Investigation Cell"</formula>
    </cfRule>
  </conditionalFormatting>
  <conditionalFormatting sqref="Q1020:S1022">
    <cfRule type="cellIs" dxfId="396" priority="2862" operator="equal">
      <formula>"Closed"</formula>
    </cfRule>
    <cfRule type="cellIs" dxfId="395" priority="2861" operator="equal">
      <formula>"Pending"</formula>
    </cfRule>
    <cfRule type="cellIs" dxfId="394" priority="2859" operator="equal">
      <formula>"Investigation Cell"</formula>
    </cfRule>
    <cfRule type="cellIs" dxfId="393" priority="2860" operator="equal">
      <formula>"Under Review"</formula>
    </cfRule>
  </conditionalFormatting>
  <conditionalFormatting sqref="Q1025:S1025">
    <cfRule type="cellIs" dxfId="392" priority="2836" operator="equal">
      <formula>"Under Review"</formula>
    </cfRule>
    <cfRule type="cellIs" dxfId="391" priority="2835" operator="equal">
      <formula>"Investigation Cell"</formula>
    </cfRule>
    <cfRule type="cellIs" dxfId="390" priority="2838" operator="equal">
      <formula>"Closed"</formula>
    </cfRule>
    <cfRule type="cellIs" dxfId="389" priority="2837" operator="equal">
      <formula>"Pending"</formula>
    </cfRule>
  </conditionalFormatting>
  <conditionalFormatting sqref="Q1034:S1036">
    <cfRule type="cellIs" dxfId="388" priority="2762" operator="equal">
      <formula>"Closed"</formula>
    </cfRule>
    <cfRule type="cellIs" dxfId="387" priority="2761" operator="equal">
      <formula>"Pending"</formula>
    </cfRule>
    <cfRule type="cellIs" dxfId="386" priority="2760" operator="equal">
      <formula>"Under Review"</formula>
    </cfRule>
    <cfRule type="cellIs" dxfId="385" priority="2759" operator="equal">
      <formula>"Investigation Cell"</formula>
    </cfRule>
  </conditionalFormatting>
  <conditionalFormatting sqref="Q1039:S1040">
    <cfRule type="cellIs" dxfId="384" priority="2718" operator="equal">
      <formula>"Closed"</formula>
    </cfRule>
    <cfRule type="cellIs" dxfId="383" priority="2717" operator="equal">
      <formula>"Pending"</formula>
    </cfRule>
    <cfRule type="cellIs" dxfId="382" priority="2716" operator="equal">
      <formula>"Under Review"</formula>
    </cfRule>
    <cfRule type="cellIs" dxfId="381" priority="2715" operator="equal">
      <formula>"Investigation Cell"</formula>
    </cfRule>
  </conditionalFormatting>
  <conditionalFormatting sqref="Q1044:S1044 S1048:S1051 Q1060:S1061">
    <cfRule type="cellIs" dxfId="380" priority="2574" operator="equal">
      <formula>"Closed"</formula>
    </cfRule>
    <cfRule type="cellIs" dxfId="379" priority="2571" operator="equal">
      <formula>"Investigation Cell"</formula>
    </cfRule>
    <cfRule type="cellIs" dxfId="378" priority="2572" operator="equal">
      <formula>"Under Review"</formula>
    </cfRule>
    <cfRule type="cellIs" dxfId="377" priority="2573" operator="equal">
      <formula>"Pending"</formula>
    </cfRule>
  </conditionalFormatting>
  <conditionalFormatting sqref="Q1055:S1055">
    <cfRule type="cellIs" dxfId="376" priority="2643" operator="equal">
      <formula>"Investigation Cell"</formula>
    </cfRule>
    <cfRule type="cellIs" dxfId="375" priority="2644" operator="equal">
      <formula>"Under Review"</formula>
    </cfRule>
    <cfRule type="cellIs" dxfId="374" priority="2646" operator="equal">
      <formula>"Closed"</formula>
    </cfRule>
    <cfRule type="cellIs" dxfId="373" priority="2645" operator="equal">
      <formula>"Pending"</formula>
    </cfRule>
  </conditionalFormatting>
  <conditionalFormatting sqref="Q1064:S1065">
    <cfRule type="cellIs" dxfId="372" priority="2596" operator="equal">
      <formula>"Under Review"</formula>
    </cfRule>
    <cfRule type="cellIs" dxfId="371" priority="2595" operator="equal">
      <formula>"Investigation Cell"</formula>
    </cfRule>
    <cfRule type="cellIs" dxfId="370" priority="2597" operator="equal">
      <formula>"Pending"</formula>
    </cfRule>
    <cfRule type="cellIs" dxfId="369" priority="2598" operator="equal">
      <formula>"Closed"</formula>
    </cfRule>
  </conditionalFormatting>
  <conditionalFormatting sqref="Q1072:S1076">
    <cfRule type="cellIs" dxfId="368" priority="2546" operator="equal">
      <formula>"Closed"</formula>
    </cfRule>
    <cfRule type="cellIs" dxfId="367" priority="2545" operator="equal">
      <formula>"Pending"</formula>
    </cfRule>
    <cfRule type="cellIs" dxfId="366" priority="2544" operator="equal">
      <formula>"Under Review"</formula>
    </cfRule>
    <cfRule type="cellIs" dxfId="365" priority="2543" operator="equal">
      <formula>"Investigation Cell"</formula>
    </cfRule>
  </conditionalFormatting>
  <conditionalFormatting sqref="Q1082:S1083">
    <cfRule type="cellIs" dxfId="364" priority="2503" operator="equal">
      <formula>"Investigation Cell"</formula>
    </cfRule>
    <cfRule type="cellIs" dxfId="363" priority="2506" operator="equal">
      <formula>"Closed"</formula>
    </cfRule>
    <cfRule type="cellIs" dxfId="362" priority="2505" operator="equal">
      <formula>"Pending"</formula>
    </cfRule>
    <cfRule type="cellIs" dxfId="361" priority="2504" operator="equal">
      <formula>"Under Review"</formula>
    </cfRule>
  </conditionalFormatting>
  <conditionalFormatting sqref="Q1085:S1087">
    <cfRule type="cellIs" dxfId="360" priority="2478" operator="equal">
      <formula>"Closed"</formula>
    </cfRule>
    <cfRule type="cellIs" dxfId="359" priority="2477" operator="equal">
      <formula>"Pending"</formula>
    </cfRule>
    <cfRule type="cellIs" dxfId="358" priority="2476" operator="equal">
      <formula>"Under Review"</formula>
    </cfRule>
    <cfRule type="cellIs" dxfId="357" priority="2475" operator="equal">
      <formula>"Investigation Cell"</formula>
    </cfRule>
  </conditionalFormatting>
  <conditionalFormatting sqref="Q399:T401 T414">
    <cfRule type="cellIs" dxfId="356" priority="8244" operator="equal">
      <formula>"Pending"</formula>
    </cfRule>
  </conditionalFormatting>
  <conditionalFormatting sqref="Q409:T410">
    <cfRule type="cellIs" dxfId="355" priority="45" operator="equal">
      <formula>"Investigation Cell"</formula>
    </cfRule>
    <cfRule type="cellIs" dxfId="354" priority="46" operator="equal">
      <formula>"Under Review"</formula>
    </cfRule>
    <cfRule type="cellIs" dxfId="353" priority="47" operator="equal">
      <formula>"Closed"</formula>
    </cfRule>
    <cfRule type="cellIs" dxfId="352" priority="48" operator="equal">
      <formula>"Pending"</formula>
    </cfRule>
  </conditionalFormatting>
  <conditionalFormatting sqref="Q413:T413">
    <cfRule type="cellIs" dxfId="351" priority="35" operator="equal">
      <formula>"Closed"</formula>
    </cfRule>
    <cfRule type="cellIs" dxfId="350" priority="36" operator="equal">
      <formula>"Pending"</formula>
    </cfRule>
    <cfRule type="cellIs" dxfId="349" priority="33" operator="equal">
      <formula>"Investigation Cell"</formula>
    </cfRule>
    <cfRule type="cellIs" dxfId="348" priority="34" operator="equal">
      <formula>"Under Review"</formula>
    </cfRule>
  </conditionalFormatting>
  <conditionalFormatting sqref="Q415:T416">
    <cfRule type="cellIs" dxfId="347" priority="14" operator="equal">
      <formula>"Under Review"</formula>
    </cfRule>
    <cfRule type="cellIs" dxfId="346" priority="15" operator="equal">
      <formula>"Closed"</formula>
    </cfRule>
    <cfRule type="cellIs" dxfId="345" priority="16" operator="equal">
      <formula>"Pending"</formula>
    </cfRule>
    <cfRule type="cellIs" dxfId="344" priority="13" operator="equal">
      <formula>"Investigation Cell"</formula>
    </cfRule>
  </conditionalFormatting>
  <conditionalFormatting sqref="Q749:U749">
    <cfRule type="cellIs" dxfId="343" priority="4356" operator="equal">
      <formula>"Under Review"</formula>
    </cfRule>
    <cfRule type="cellIs" dxfId="342" priority="4358" operator="equal">
      <formula>"Closed"</formula>
    </cfRule>
    <cfRule type="cellIs" dxfId="341" priority="4357" operator="equal">
      <formula>"Pending"</formula>
    </cfRule>
    <cfRule type="cellIs" dxfId="340" priority="4355" operator="equal">
      <formula>"Investigation Cell"</formula>
    </cfRule>
  </conditionalFormatting>
  <conditionalFormatting sqref="R13:R14">
    <cfRule type="cellIs" dxfId="339" priority="2431" operator="equal">
      <formula>"Investigation Cell"</formula>
    </cfRule>
    <cfRule type="cellIs" dxfId="338" priority="2432" operator="equal">
      <formula>"Under Review"</formula>
    </cfRule>
    <cfRule type="cellIs" dxfId="337" priority="2434" operator="equal">
      <formula>"Closed"</formula>
    </cfRule>
  </conditionalFormatting>
  <conditionalFormatting sqref="R115">
    <cfRule type="cellIs" dxfId="336" priority="2004" operator="equal">
      <formula>"Under Review"</formula>
    </cfRule>
    <cfRule type="cellIs" dxfId="335" priority="2003" operator="equal">
      <formula>"Investigation Cell"</formula>
    </cfRule>
    <cfRule type="cellIs" dxfId="334" priority="2006" operator="equal">
      <formula>"Closed"</formula>
    </cfRule>
  </conditionalFormatting>
  <conditionalFormatting sqref="R124:R126">
    <cfRule type="cellIs" dxfId="333" priority="1933" operator="equal">
      <formula>"Investigation Cell"</formula>
    </cfRule>
    <cfRule type="cellIs" dxfId="332" priority="1934" operator="equal">
      <formula>"Under Review"</formula>
    </cfRule>
    <cfRule type="cellIs" dxfId="331" priority="1936" operator="equal">
      <formula>"Closed"</formula>
    </cfRule>
  </conditionalFormatting>
  <conditionalFormatting sqref="R192:R196">
    <cfRule type="cellIs" dxfId="330" priority="1596" operator="equal">
      <formula>"Pending"</formula>
    </cfRule>
  </conditionalFormatting>
  <conditionalFormatting sqref="R198">
    <cfRule type="cellIs" dxfId="329" priority="1591" operator="equal">
      <formula>"Pending"</formula>
    </cfRule>
  </conditionalFormatting>
  <conditionalFormatting sqref="R253:R256">
    <cfRule type="cellIs" dxfId="328" priority="1147" operator="equal">
      <formula>"Under Review"</formula>
    </cfRule>
    <cfRule type="cellIs" dxfId="327" priority="1148" operator="equal">
      <formula>"Closed"</formula>
    </cfRule>
    <cfRule type="cellIs" dxfId="326" priority="1146" operator="equal">
      <formula>"Investigation Cell"</formula>
    </cfRule>
  </conditionalFormatting>
  <conditionalFormatting sqref="R367:R368">
    <cfRule type="cellIs" dxfId="325" priority="263" operator="equal">
      <formula>"Investigation Cell"</formula>
    </cfRule>
    <cfRule type="cellIs" dxfId="324" priority="264" operator="equal">
      <formula>"Under Review"</formula>
    </cfRule>
    <cfRule type="cellIs" dxfId="323" priority="265" operator="equal">
      <formula>"Closed"</formula>
    </cfRule>
  </conditionalFormatting>
  <conditionalFormatting sqref="R427:R428">
    <cfRule type="cellIs" dxfId="322" priority="6395" operator="equal">
      <formula>"Received"</formula>
    </cfRule>
  </conditionalFormatting>
  <conditionalFormatting sqref="R431 R434">
    <cfRule type="cellIs" dxfId="321" priority="6850" operator="equal">
      <formula>"Under Review"</formula>
    </cfRule>
    <cfRule type="cellIs" dxfId="320" priority="6849" operator="equal">
      <formula>"Investigation Cell"</formula>
    </cfRule>
    <cfRule type="cellIs" dxfId="319" priority="6852" operator="equal">
      <formula>"Closed"</formula>
    </cfRule>
  </conditionalFormatting>
  <conditionalFormatting sqref="R432:R433">
    <cfRule type="cellIs" dxfId="318" priority="6204" operator="equal">
      <formula>"Received"</formula>
    </cfRule>
  </conditionalFormatting>
  <conditionalFormatting sqref="R435 Q438:R438">
    <cfRule type="cellIs" dxfId="317" priority="6393" operator="equal">
      <formula>"Received"</formula>
    </cfRule>
  </conditionalFormatting>
  <conditionalFormatting sqref="R443:R444">
    <cfRule type="cellIs" dxfId="316" priority="6544" operator="equal">
      <formula>"Investigation Cell"</formula>
    </cfRule>
    <cfRule type="cellIs" dxfId="315" priority="6547" operator="equal">
      <formula>"Closed"</formula>
    </cfRule>
    <cfRule type="cellIs" dxfId="314" priority="6545" operator="equal">
      <formula>"Under Review"</formula>
    </cfRule>
  </conditionalFormatting>
  <conditionalFormatting sqref="R467:R468">
    <cfRule type="cellIs" dxfId="313" priority="6454" operator="equal">
      <formula>"Investigation Cell"</formula>
    </cfRule>
    <cfRule type="cellIs" dxfId="312" priority="6457" operator="equal">
      <formula>"Closed"</formula>
    </cfRule>
    <cfRule type="cellIs" dxfId="311" priority="6455" operator="equal">
      <formula>"Under Review"</formula>
    </cfRule>
  </conditionalFormatting>
  <conditionalFormatting sqref="R470:R472 R474:R476">
    <cfRule type="cellIs" dxfId="310" priority="6241" operator="equal">
      <formula>"Closed"</formula>
    </cfRule>
    <cfRule type="cellIs" dxfId="309" priority="6239" operator="equal">
      <formula>"Under Review"</formula>
    </cfRule>
    <cfRule type="cellIs" dxfId="308" priority="6238" operator="equal">
      <formula>"Investigation Cell"</formula>
    </cfRule>
  </conditionalFormatting>
  <conditionalFormatting sqref="R478">
    <cfRule type="cellIs" dxfId="307" priority="6234" operator="equal">
      <formula>"Investigation Cell"</formula>
    </cfRule>
    <cfRule type="cellIs" dxfId="306" priority="6237" operator="equal">
      <formula>"Closed"</formula>
    </cfRule>
    <cfRule type="cellIs" dxfId="305" priority="6235" operator="equal">
      <formula>"Under Review"</formula>
    </cfRule>
  </conditionalFormatting>
  <conditionalFormatting sqref="R482">
    <cfRule type="cellIs" dxfId="304" priority="6275" operator="equal">
      <formula>"Closed"</formula>
    </cfRule>
    <cfRule type="cellIs" dxfId="303" priority="6273" operator="equal">
      <formula>"Under Review"</formula>
    </cfRule>
    <cfRule type="cellIs" dxfId="302" priority="6272" operator="equal">
      <formula>"Investigation Cell"</formula>
    </cfRule>
  </conditionalFormatting>
  <conditionalFormatting sqref="R487:R488">
    <cfRule type="cellIs" dxfId="301" priority="6209" operator="equal">
      <formula>"Closed"</formula>
    </cfRule>
    <cfRule type="cellIs" dxfId="300" priority="6207" operator="equal">
      <formula>"Under Review"</formula>
    </cfRule>
    <cfRule type="cellIs" dxfId="299" priority="6206" operator="equal">
      <formula>"Investigation Cell"</formula>
    </cfRule>
  </conditionalFormatting>
  <conditionalFormatting sqref="R490:R491">
    <cfRule type="cellIs" dxfId="298" priority="5820" operator="equal">
      <formula>"Closed"</formula>
    </cfRule>
    <cfRule type="cellIs" dxfId="297" priority="5818" operator="equal">
      <formula>"Under Review"</formula>
    </cfRule>
    <cfRule type="cellIs" dxfId="296" priority="5817" operator="equal">
      <formula>"Investigation Cell"</formula>
    </cfRule>
  </conditionalFormatting>
  <conditionalFormatting sqref="R494:R496">
    <cfRule type="cellIs" dxfId="295" priority="6074" operator="equal">
      <formula>"Closed"</formula>
    </cfRule>
    <cfRule type="cellIs" dxfId="294" priority="6072" operator="equal">
      <formula>"Under Review"</formula>
    </cfRule>
    <cfRule type="cellIs" dxfId="293" priority="6071" operator="equal">
      <formula>"Investigation Cell"</formula>
    </cfRule>
  </conditionalFormatting>
  <conditionalFormatting sqref="R510:R518">
    <cfRule type="cellIs" dxfId="292" priority="6066" operator="equal">
      <formula>"Closed"</formula>
    </cfRule>
    <cfRule type="cellIs" dxfId="291" priority="6064" operator="equal">
      <formula>"Under Review"</formula>
    </cfRule>
    <cfRule type="cellIs" dxfId="290" priority="6063" operator="equal">
      <formula>"Investigation Cell"</formula>
    </cfRule>
  </conditionalFormatting>
  <conditionalFormatting sqref="R604:R611">
    <cfRule type="cellIs" dxfId="289" priority="5195" operator="equal">
      <formula>"Investigation Cell"</formula>
    </cfRule>
    <cfRule type="cellIs" dxfId="288" priority="5196" operator="equal">
      <formula>"Under Review"</formula>
    </cfRule>
    <cfRule type="cellIs" dxfId="287" priority="5198" operator="equal">
      <formula>"Closed"</formula>
    </cfRule>
  </conditionalFormatting>
  <conditionalFormatting sqref="R619:R627">
    <cfRule type="cellIs" dxfId="286" priority="5185" operator="equal">
      <formula>"Pending"</formula>
    </cfRule>
  </conditionalFormatting>
  <conditionalFormatting sqref="R625:R626">
    <cfRule type="cellIs" dxfId="285" priority="5369" operator="equal">
      <formula>"Received"</formula>
    </cfRule>
  </conditionalFormatting>
  <conditionalFormatting sqref="R682:R685">
    <cfRule type="cellIs" dxfId="284" priority="4747" operator="equal">
      <formula>"Investigation Cell"</formula>
    </cfRule>
    <cfRule type="cellIs" dxfId="283" priority="4748" operator="equal">
      <formula>"Under Review"</formula>
    </cfRule>
    <cfRule type="cellIs" dxfId="282" priority="4750" operator="equal">
      <formula>"Closed"</formula>
    </cfRule>
  </conditionalFormatting>
  <conditionalFormatting sqref="R764">
    <cfRule type="cellIs" dxfId="281" priority="4234" operator="equal">
      <formula>"Closed"</formula>
    </cfRule>
    <cfRule type="cellIs" dxfId="280" priority="4232" operator="equal">
      <formula>"Under Review"</formula>
    </cfRule>
    <cfRule type="cellIs" dxfId="279" priority="4231" operator="equal">
      <formula>"Investigation Cell"</formula>
    </cfRule>
  </conditionalFormatting>
  <conditionalFormatting sqref="R844">
    <cfRule type="cellIs" dxfId="278" priority="3910" operator="equal">
      <formula>"Closed"</formula>
    </cfRule>
    <cfRule type="cellIs" dxfId="277" priority="3907" operator="equal">
      <formula>"Investigation Cell"</formula>
    </cfRule>
    <cfRule type="cellIs" dxfId="276" priority="3908" operator="equal">
      <formula>"Under Review"</formula>
    </cfRule>
  </conditionalFormatting>
  <conditionalFormatting sqref="R846:R855">
    <cfRule type="cellIs" dxfId="275" priority="2787" operator="equal">
      <formula>"Investigation Cell"</formula>
    </cfRule>
    <cfRule type="cellIs" dxfId="274" priority="2788" operator="equal">
      <formula>"Under Review"</formula>
    </cfRule>
    <cfRule type="cellIs" dxfId="273" priority="2789" operator="equal">
      <formula>"Pending"</formula>
    </cfRule>
    <cfRule type="cellIs" dxfId="272" priority="2790" operator="equal">
      <formula>"Closed"</formula>
    </cfRule>
  </conditionalFormatting>
  <conditionalFormatting sqref="R1018">
    <cfRule type="cellIs" dxfId="271" priority="2795" operator="equal">
      <formula>"Investigation Cell"</formula>
    </cfRule>
    <cfRule type="cellIs" dxfId="270" priority="2796" operator="equal">
      <formula>"Under Review"</formula>
    </cfRule>
    <cfRule type="cellIs" dxfId="269" priority="2797" operator="equal">
      <formula>"Pending"</formula>
    </cfRule>
    <cfRule type="cellIs" dxfId="268" priority="2798" operator="equal">
      <formula>"Closed"</formula>
    </cfRule>
  </conditionalFormatting>
  <conditionalFormatting sqref="R1032">
    <cfRule type="cellIs" dxfId="267" priority="2807" operator="equal">
      <formula>"Investigation Cell"</formula>
    </cfRule>
    <cfRule type="cellIs" dxfId="266" priority="2808" operator="equal">
      <formula>"Under Review"</formula>
    </cfRule>
    <cfRule type="cellIs" dxfId="265" priority="2809" operator="equal">
      <formula>"Pending"</formula>
    </cfRule>
    <cfRule type="cellIs" dxfId="264" priority="2810" operator="equal">
      <formula>"Closed"</formula>
    </cfRule>
  </conditionalFormatting>
  <conditionalFormatting sqref="R1:S1">
    <cfRule type="containsText" dxfId="263" priority="8248" operator="containsText" text="Pending">
      <formula>NOT(ISERROR(SEARCH("Pending",R1)))</formula>
    </cfRule>
  </conditionalFormatting>
  <conditionalFormatting sqref="R43:S43">
    <cfRule type="cellIs" dxfId="262" priority="2278" operator="equal">
      <formula>"Under Review"</formula>
    </cfRule>
    <cfRule type="cellIs" dxfId="261" priority="2277" operator="equal">
      <formula>"Investigation Cell"</formula>
    </cfRule>
    <cfRule type="cellIs" dxfId="260" priority="2280" operator="equal">
      <formula>"Closed"</formula>
    </cfRule>
  </conditionalFormatting>
  <conditionalFormatting sqref="R99:S99">
    <cfRule type="cellIs" dxfId="259" priority="2084" operator="equal">
      <formula>"Closed"</formula>
    </cfRule>
    <cfRule type="cellIs" dxfId="258" priority="2082" operator="equal">
      <formula>"Under Review"</formula>
    </cfRule>
    <cfRule type="cellIs" dxfId="257" priority="2081" operator="equal">
      <formula>"Investigation Cell"</formula>
    </cfRule>
  </conditionalFormatting>
  <conditionalFormatting sqref="R347:S349">
    <cfRule type="cellIs" dxfId="256" priority="270" operator="equal">
      <formula>"Pending"</formula>
    </cfRule>
    <cfRule type="cellIs" dxfId="255" priority="267" operator="equal">
      <formula>"Investigation Cell"</formula>
    </cfRule>
    <cfRule type="cellIs" dxfId="254" priority="269" operator="equal">
      <formula>"Closed"</formula>
    </cfRule>
    <cfRule type="cellIs" dxfId="253" priority="268" operator="equal">
      <formula>"Under Review"</formula>
    </cfRule>
  </conditionalFormatting>
  <conditionalFormatting sqref="R351:S353">
    <cfRule type="cellIs" dxfId="252" priority="288" operator="equal">
      <formula>"Under Review"</formula>
    </cfRule>
    <cfRule type="cellIs" dxfId="251" priority="289" operator="equal">
      <formula>"Closed"</formula>
    </cfRule>
    <cfRule type="cellIs" dxfId="250" priority="287" operator="equal">
      <formula>"Investigation Cell"</formula>
    </cfRule>
  </conditionalFormatting>
  <conditionalFormatting sqref="R356:S360">
    <cfRule type="cellIs" dxfId="249" priority="272" operator="equal">
      <formula>"Under Review"</formula>
    </cfRule>
    <cfRule type="cellIs" dxfId="248" priority="273" operator="equal">
      <formula>"Closed"</formula>
    </cfRule>
    <cfRule type="cellIs" dxfId="247" priority="271" operator="equal">
      <formula>"Investigation Cell"</formula>
    </cfRule>
  </conditionalFormatting>
  <conditionalFormatting sqref="R373:S375">
    <cfRule type="cellIs" dxfId="246" priority="243" operator="equal">
      <formula>"Closed"</formula>
    </cfRule>
    <cfRule type="cellIs" dxfId="245" priority="242" operator="equal">
      <formula>"Under Review"</formula>
    </cfRule>
    <cfRule type="cellIs" dxfId="244" priority="241" operator="equal">
      <formula>"Investigation Cell"</formula>
    </cfRule>
  </conditionalFormatting>
  <conditionalFormatting sqref="R379:S379">
    <cfRule type="cellIs" dxfId="243" priority="233" operator="equal">
      <formula>"Closed"</formula>
    </cfRule>
    <cfRule type="cellIs" dxfId="242" priority="231" operator="equal">
      <formula>"Investigation Cell"</formula>
    </cfRule>
    <cfRule type="cellIs" dxfId="241" priority="232" operator="equal">
      <formula>"Under Review"</formula>
    </cfRule>
  </conditionalFormatting>
  <conditionalFormatting sqref="R384:S384">
    <cfRule type="cellIs" dxfId="240" priority="201" operator="equal">
      <formula>"Investigation Cell"</formula>
    </cfRule>
    <cfRule type="cellIs" dxfId="239" priority="202" operator="equal">
      <formula>"Under Review"</formula>
    </cfRule>
    <cfRule type="cellIs" dxfId="238" priority="203" operator="equal">
      <formula>"Closed"</formula>
    </cfRule>
  </conditionalFormatting>
  <conditionalFormatting sqref="R386:S386">
    <cfRule type="cellIs" dxfId="237" priority="183" operator="equal">
      <formula>"Investigation Cell"</formula>
    </cfRule>
    <cfRule type="cellIs" dxfId="236" priority="184" operator="equal">
      <formula>"Under Review"</formula>
    </cfRule>
    <cfRule type="cellIs" dxfId="235" priority="185" operator="equal">
      <formula>"Closed"</formula>
    </cfRule>
  </conditionalFormatting>
  <conditionalFormatting sqref="R388:S388">
    <cfRule type="cellIs" dxfId="234" priority="161" operator="equal">
      <formula>"Investigation Cell"</formula>
    </cfRule>
    <cfRule type="cellIs" dxfId="233" priority="163" operator="equal">
      <formula>"Closed"</formula>
    </cfRule>
    <cfRule type="cellIs" dxfId="232" priority="162" operator="equal">
      <formula>"Under Review"</formula>
    </cfRule>
  </conditionalFormatting>
  <conditionalFormatting sqref="R390:S391">
    <cfRule type="cellIs" dxfId="231" priority="140" operator="equal">
      <formula>"Under Review"</formula>
    </cfRule>
    <cfRule type="cellIs" dxfId="230" priority="139" operator="equal">
      <formula>"Investigation Cell"</formula>
    </cfRule>
    <cfRule type="cellIs" dxfId="229" priority="141" operator="equal">
      <formula>"Closed"</formula>
    </cfRule>
    <cfRule type="cellIs" dxfId="228" priority="142" operator="equal">
      <formula>"Pending"</formula>
    </cfRule>
  </conditionalFormatting>
  <conditionalFormatting sqref="R393:S394">
    <cfRule type="cellIs" dxfId="227" priority="115" operator="equal">
      <formula>"Investigation Cell"</formula>
    </cfRule>
    <cfRule type="cellIs" dxfId="226" priority="116" operator="equal">
      <formula>"Under Review"</formula>
    </cfRule>
    <cfRule type="cellIs" dxfId="225" priority="117" operator="equal">
      <formula>"Closed"</formula>
    </cfRule>
  </conditionalFormatting>
  <conditionalFormatting sqref="R427:S428">
    <cfRule type="cellIs" dxfId="224" priority="6396" operator="equal">
      <formula>"Pending"</formula>
    </cfRule>
  </conditionalFormatting>
  <conditionalFormatting sqref="R521:S521">
    <cfRule type="cellIs" dxfId="223" priority="6119" operator="equal">
      <formula>"Investigation Cell"</formula>
    </cfRule>
    <cfRule type="cellIs" dxfId="222" priority="6120" operator="equal">
      <formula>"Under Review"</formula>
    </cfRule>
    <cfRule type="cellIs" dxfId="221" priority="6121" operator="equal">
      <formula>"Pending"</formula>
    </cfRule>
    <cfRule type="cellIs" dxfId="220" priority="6122" operator="equal">
      <formula>"Closed"</formula>
    </cfRule>
  </conditionalFormatting>
  <conditionalFormatting sqref="R533:S533">
    <cfRule type="cellIs" dxfId="219" priority="6004" operator="equal">
      <formula>"Closed"</formula>
    </cfRule>
    <cfRule type="cellIs" dxfId="218" priority="6001" operator="equal">
      <formula>"Investigation Cell"</formula>
    </cfRule>
    <cfRule type="cellIs" dxfId="217" priority="6002" operator="equal">
      <formula>"Under Review"</formula>
    </cfRule>
  </conditionalFormatting>
  <conditionalFormatting sqref="R601:S601">
    <cfRule type="cellIs" dxfId="216" priority="5627" operator="equal">
      <formula>"Pending"</formula>
    </cfRule>
  </conditionalFormatting>
  <conditionalFormatting sqref="R604:S611">
    <cfRule type="cellIs" dxfId="215" priority="5197" operator="equal">
      <formula>"Pending"</formula>
    </cfRule>
  </conditionalFormatting>
  <conditionalFormatting sqref="R616:S616">
    <cfRule type="cellIs" dxfId="214" priority="5154" operator="equal">
      <formula>"Closed"</formula>
    </cfRule>
    <cfRule type="cellIs" dxfId="213" priority="5153" operator="equal">
      <formula>"Pending"</formula>
    </cfRule>
    <cfRule type="cellIs" dxfId="212" priority="5152" operator="equal">
      <formula>"Under Review"</formula>
    </cfRule>
    <cfRule type="cellIs" dxfId="211" priority="5151" operator="equal">
      <formula>"Investigation Cell"</formula>
    </cfRule>
  </conditionalFormatting>
  <conditionalFormatting sqref="R619:S624">
    <cfRule type="cellIs" dxfId="210" priority="5186" operator="equal">
      <formula>"Closed"</formula>
    </cfRule>
    <cfRule type="cellIs" dxfId="209" priority="5184" operator="equal">
      <formula>"Under Review"</formula>
    </cfRule>
    <cfRule type="cellIs" dxfId="208" priority="5183" operator="equal">
      <formula>"Investigation Cell"</formula>
    </cfRule>
  </conditionalFormatting>
  <conditionalFormatting sqref="R627:S627">
    <cfRule type="cellIs" dxfId="207" priority="5344" operator="equal">
      <formula>"Closed"</formula>
    </cfRule>
    <cfRule type="cellIs" dxfId="206" priority="5342" operator="equal">
      <formula>"Under Review"</formula>
    </cfRule>
    <cfRule type="cellIs" dxfId="205" priority="5341" operator="equal">
      <formula>"Investigation Cell"</formula>
    </cfRule>
  </conditionalFormatting>
  <conditionalFormatting sqref="R633:S633">
    <cfRule type="cellIs" dxfId="204" priority="5315" operator="equal">
      <formula>"Investigation Cell"</formula>
    </cfRule>
    <cfRule type="cellIs" dxfId="203" priority="5316" operator="equal">
      <formula>"Under Review"</formula>
    </cfRule>
    <cfRule type="cellIs" dxfId="202" priority="5318" operator="equal">
      <formula>"Closed"</formula>
    </cfRule>
  </conditionalFormatting>
  <conditionalFormatting sqref="R676:S677">
    <cfRule type="cellIs" dxfId="201" priority="4962" operator="equal">
      <formula>"Closed"</formula>
    </cfRule>
    <cfRule type="cellIs" dxfId="200" priority="4961" operator="equal">
      <formula>"Pending"</formula>
    </cfRule>
    <cfRule type="cellIs" dxfId="199" priority="4960" operator="equal">
      <formula>"Under Review"</formula>
    </cfRule>
    <cfRule type="cellIs" dxfId="198" priority="4959" operator="equal">
      <formula>"Investigation Cell"</formula>
    </cfRule>
  </conditionalFormatting>
  <conditionalFormatting sqref="R682:S685">
    <cfRule type="cellIs" dxfId="197" priority="4749" operator="equal">
      <formula>"Pending"</formula>
    </cfRule>
  </conditionalFormatting>
  <conditionalFormatting sqref="R705:S710">
    <cfRule type="cellIs" dxfId="196" priority="4670" operator="equal">
      <formula>"Closed"</formula>
    </cfRule>
    <cfRule type="cellIs" dxfId="195" priority="4667" operator="equal">
      <formula>"Investigation Cell"</formula>
    </cfRule>
    <cfRule type="cellIs" dxfId="194" priority="4668" operator="equal">
      <formula>"Under Review"</formula>
    </cfRule>
    <cfRule type="cellIs" dxfId="193" priority="4669" operator="equal">
      <formula>"Pending"</formula>
    </cfRule>
  </conditionalFormatting>
  <conditionalFormatting sqref="R719:S720">
    <cfRule type="cellIs" dxfId="192" priority="4579" operator="equal">
      <formula>"Investigation Cell"</formula>
    </cfRule>
    <cfRule type="cellIs" dxfId="191" priority="4580" operator="equal">
      <formula>"Under Review"</formula>
    </cfRule>
    <cfRule type="cellIs" dxfId="190" priority="4581" operator="equal">
      <formula>"Pending"</formula>
    </cfRule>
    <cfRule type="cellIs" dxfId="189" priority="4582" operator="equal">
      <formula>"Closed"</formula>
    </cfRule>
  </conditionalFormatting>
  <conditionalFormatting sqref="R728:S731">
    <cfRule type="cellIs" dxfId="188" priority="4259" operator="equal">
      <formula>"Investigation Cell"</formula>
    </cfRule>
    <cfRule type="cellIs" dxfId="187" priority="4260" operator="equal">
      <formula>"Under Review"</formula>
    </cfRule>
    <cfRule type="cellIs" dxfId="186" priority="4261" operator="equal">
      <formula>"Pending"</formula>
    </cfRule>
    <cfRule type="cellIs" dxfId="185" priority="4262" operator="equal">
      <formula>"Closed"</formula>
    </cfRule>
  </conditionalFormatting>
  <conditionalFormatting sqref="R864:S864">
    <cfRule type="cellIs" dxfId="184" priority="3814" operator="equal">
      <formula>"Closed"</formula>
    </cfRule>
    <cfRule type="cellIs" dxfId="183" priority="3813" operator="equal">
      <formula>"Pending"</formula>
    </cfRule>
    <cfRule type="cellIs" dxfId="182" priority="3812" operator="equal">
      <formula>"Under Review"</formula>
    </cfRule>
    <cfRule type="cellIs" dxfId="181" priority="3811" operator="equal">
      <formula>"Investigation Cell"</formula>
    </cfRule>
  </conditionalFormatting>
  <conditionalFormatting sqref="R866:S867">
    <cfRule type="cellIs" dxfId="180" priority="3790" operator="equal">
      <formula>"Closed"</formula>
    </cfRule>
    <cfRule type="cellIs" dxfId="179" priority="3787" operator="equal">
      <formula>"Investigation Cell"</formula>
    </cfRule>
    <cfRule type="cellIs" dxfId="178" priority="3788" operator="equal">
      <formula>"Under Review"</formula>
    </cfRule>
    <cfRule type="cellIs" dxfId="177" priority="3789" operator="equal">
      <formula>"Pending"</formula>
    </cfRule>
  </conditionalFormatting>
  <conditionalFormatting sqref="R885:S887">
    <cfRule type="cellIs" dxfId="176" priority="3635" operator="equal">
      <formula>"Investigation Cell"</formula>
    </cfRule>
    <cfRule type="cellIs" dxfId="175" priority="3636" operator="equal">
      <formula>"Under Review"</formula>
    </cfRule>
    <cfRule type="cellIs" dxfId="174" priority="3637" operator="equal">
      <formula>"Pending"</formula>
    </cfRule>
    <cfRule type="cellIs" dxfId="173" priority="3638" operator="equal">
      <formula>"Closed"</formula>
    </cfRule>
  </conditionalFormatting>
  <conditionalFormatting sqref="R891:S891">
    <cfRule type="cellIs" dxfId="172" priority="3619" operator="equal">
      <formula>"Investigation Cell"</formula>
    </cfRule>
    <cfRule type="cellIs" dxfId="171" priority="3620" operator="equal">
      <formula>"Under Review"</formula>
    </cfRule>
    <cfRule type="cellIs" dxfId="170" priority="3622" operator="equal">
      <formula>"Closed"</formula>
    </cfRule>
    <cfRule type="cellIs" dxfId="169" priority="3621" operator="equal">
      <formula>"Pending"</formula>
    </cfRule>
  </conditionalFormatting>
  <conditionalFormatting sqref="R893:S894">
    <cfRule type="cellIs" dxfId="168" priority="3595" operator="equal">
      <formula>"Investigation Cell"</formula>
    </cfRule>
    <cfRule type="cellIs" dxfId="167" priority="3598" operator="equal">
      <formula>"Closed"</formula>
    </cfRule>
    <cfRule type="cellIs" dxfId="166" priority="3597" operator="equal">
      <formula>"Pending"</formula>
    </cfRule>
    <cfRule type="cellIs" dxfId="165" priority="3596" operator="equal">
      <formula>"Under Review"</formula>
    </cfRule>
  </conditionalFormatting>
  <conditionalFormatting sqref="R899:S903">
    <cfRule type="cellIs" dxfId="164" priority="3539" operator="equal">
      <formula>"Investigation Cell"</formula>
    </cfRule>
    <cfRule type="cellIs" dxfId="163" priority="3540" operator="equal">
      <formula>"Under Review"</formula>
    </cfRule>
    <cfRule type="cellIs" dxfId="162" priority="3541" operator="equal">
      <formula>"Pending"</formula>
    </cfRule>
    <cfRule type="cellIs" dxfId="161" priority="3542" operator="equal">
      <formula>"Closed"</formula>
    </cfRule>
  </conditionalFormatting>
  <conditionalFormatting sqref="R910:S910">
    <cfRule type="cellIs" dxfId="160" priority="3499" operator="equal">
      <formula>"Investigation Cell"</formula>
    </cfRule>
    <cfRule type="cellIs" dxfId="159" priority="3500" operator="equal">
      <formula>"Under Review"</formula>
    </cfRule>
    <cfRule type="cellIs" dxfId="158" priority="3501" operator="equal">
      <formula>"Pending"</formula>
    </cfRule>
    <cfRule type="cellIs" dxfId="157" priority="3502" operator="equal">
      <formula>"Closed"</formula>
    </cfRule>
  </conditionalFormatting>
  <conditionalFormatting sqref="R929:S930">
    <cfRule type="cellIs" dxfId="156" priority="3431" operator="equal">
      <formula>"Investigation Cell"</formula>
    </cfRule>
    <cfRule type="cellIs" dxfId="155" priority="3432" operator="equal">
      <formula>"Under Review"</formula>
    </cfRule>
    <cfRule type="cellIs" dxfId="154" priority="3433" operator="equal">
      <formula>"Pending"</formula>
    </cfRule>
    <cfRule type="cellIs" dxfId="153" priority="3434" operator="equal">
      <formula>"Closed"</formula>
    </cfRule>
  </conditionalFormatting>
  <conditionalFormatting sqref="R932:S932">
    <cfRule type="cellIs" dxfId="152" priority="3425" operator="equal">
      <formula>"Pending"</formula>
    </cfRule>
    <cfRule type="cellIs" dxfId="151" priority="3423" operator="equal">
      <formula>"Investigation Cell"</formula>
    </cfRule>
    <cfRule type="cellIs" dxfId="150" priority="3426" operator="equal">
      <formula>"Closed"</formula>
    </cfRule>
    <cfRule type="cellIs" dxfId="149" priority="3424" operator="equal">
      <formula>"Under Review"</formula>
    </cfRule>
  </conditionalFormatting>
  <conditionalFormatting sqref="R941:S942">
    <cfRule type="cellIs" dxfId="148" priority="3359" operator="equal">
      <formula>"Investigation Cell"</formula>
    </cfRule>
    <cfRule type="cellIs" dxfId="147" priority="3360" operator="equal">
      <formula>"Under Review"</formula>
    </cfRule>
    <cfRule type="cellIs" dxfId="146" priority="3361" operator="equal">
      <formula>"Pending"</formula>
    </cfRule>
    <cfRule type="cellIs" dxfId="145" priority="3362" operator="equal">
      <formula>"Closed"</formula>
    </cfRule>
  </conditionalFormatting>
  <conditionalFormatting sqref="R944:S944">
    <cfRule type="cellIs" dxfId="144" priority="3350" operator="equal">
      <formula>"Closed"</formula>
    </cfRule>
    <cfRule type="cellIs" dxfId="143" priority="3349" operator="equal">
      <formula>"Pending"</formula>
    </cfRule>
    <cfRule type="cellIs" dxfId="142" priority="3348" operator="equal">
      <formula>"Under Review"</formula>
    </cfRule>
    <cfRule type="cellIs" dxfId="141" priority="3347" operator="equal">
      <formula>"Investigation Cell"</formula>
    </cfRule>
  </conditionalFormatting>
  <conditionalFormatting sqref="R949:S953">
    <cfRule type="cellIs" dxfId="140" priority="3297" operator="equal">
      <formula>"Pending"</formula>
    </cfRule>
    <cfRule type="cellIs" dxfId="139" priority="3298" operator="equal">
      <formula>"Closed"</formula>
    </cfRule>
    <cfRule type="cellIs" dxfId="138" priority="3295" operator="equal">
      <formula>"Investigation Cell"</formula>
    </cfRule>
    <cfRule type="cellIs" dxfId="137" priority="3296" operator="equal">
      <formula>"Under Review"</formula>
    </cfRule>
  </conditionalFormatting>
  <conditionalFormatting sqref="R399:T401 T414">
    <cfRule type="cellIs" dxfId="136" priority="8199" operator="equal">
      <formula>"Under Review"</formula>
    </cfRule>
    <cfRule type="cellIs" dxfId="135" priority="8198" operator="equal">
      <formula>"Investigation Cell"</formula>
    </cfRule>
    <cfRule type="cellIs" dxfId="134" priority="8204" operator="equal">
      <formula>"Closed"</formula>
    </cfRule>
  </conditionalFormatting>
  <conditionalFormatting sqref="R422:T422">
    <cfRule type="cellIs" dxfId="133" priority="10" operator="equal">
      <formula>"Under Review"</formula>
    </cfRule>
    <cfRule type="cellIs" dxfId="132" priority="12" operator="equal">
      <formula>"Pending"</formula>
    </cfRule>
    <cfRule type="cellIs" dxfId="131" priority="9" operator="equal">
      <formula>"Investigation Cell"</formula>
    </cfRule>
    <cfRule type="cellIs" dxfId="130" priority="11" operator="equal">
      <formula>"Closed"</formula>
    </cfRule>
  </conditionalFormatting>
  <conditionalFormatting sqref="R865:V865">
    <cfRule type="cellIs" dxfId="129" priority="3808" operator="equal">
      <formula>"Under Review"</formula>
    </cfRule>
    <cfRule type="cellIs" dxfId="128" priority="3807" operator="equal">
      <formula>"Investigation Cell"</formula>
    </cfRule>
    <cfRule type="cellIs" dxfId="127" priority="3809" operator="equal">
      <formula>"Pending"</formula>
    </cfRule>
    <cfRule type="cellIs" dxfId="126" priority="3810" operator="equal">
      <formula>"Closed"</formula>
    </cfRule>
  </conditionalFormatting>
  <conditionalFormatting sqref="S368">
    <cfRule type="cellIs" dxfId="125" priority="302" operator="equal">
      <formula>"Pending"</formula>
    </cfRule>
    <cfRule type="cellIs" dxfId="124" priority="301" operator="equal">
      <formula>"Closed"</formula>
    </cfRule>
    <cfRule type="cellIs" dxfId="123" priority="300" operator="equal">
      <formula>"Under Review"</formula>
    </cfRule>
    <cfRule type="cellIs" dxfId="122" priority="299" operator="equal">
      <formula>"Investigation Cell"</formula>
    </cfRule>
  </conditionalFormatting>
  <conditionalFormatting sqref="S494">
    <cfRule type="cellIs" dxfId="121" priority="6070" operator="equal">
      <formula>"Closed"</formula>
    </cfRule>
    <cfRule type="cellIs" dxfId="120" priority="6068" operator="equal">
      <formula>"Under Review"</formula>
    </cfRule>
    <cfRule type="cellIs" dxfId="119" priority="6067" operator="equal">
      <formula>"Investigation Cell"</formula>
    </cfRule>
  </conditionalFormatting>
  <conditionalFormatting sqref="S511:S514">
    <cfRule type="cellIs" dxfId="118" priority="6062" operator="equal">
      <formula>"Closed"</formula>
    </cfRule>
    <cfRule type="cellIs" dxfId="117" priority="6060" operator="equal">
      <formula>"Under Review"</formula>
    </cfRule>
    <cfRule type="cellIs" dxfId="116" priority="6059" operator="equal">
      <formula>"Investigation Cell"</formula>
    </cfRule>
  </conditionalFormatting>
  <conditionalFormatting sqref="S516:S518">
    <cfRule type="cellIs" dxfId="115" priority="6102" operator="equal">
      <formula>"Closed"</formula>
    </cfRule>
    <cfRule type="cellIs" dxfId="114" priority="6100" operator="equal">
      <formula>"Under Review"</formula>
    </cfRule>
    <cfRule type="cellIs" dxfId="113" priority="6099" operator="equal">
      <formula>"Investigation Cell"</formula>
    </cfRule>
  </conditionalFormatting>
  <conditionalFormatting sqref="S563:S566">
    <cfRule type="cellIs" dxfId="112" priority="5769" operator="equal">
      <formula>"Investigation Cell"</formula>
    </cfRule>
    <cfRule type="cellIs" dxfId="111" priority="5770" operator="equal">
      <formula>"Under Review"</formula>
    </cfRule>
    <cfRule type="cellIs" dxfId="110" priority="5772" operator="equal">
      <formula>"Closed"</formula>
    </cfRule>
  </conditionalFormatting>
  <conditionalFormatting sqref="S568">
    <cfRule type="cellIs" dxfId="109" priority="5800" operator="equal">
      <formula>"Closed"</formula>
    </cfRule>
    <cfRule type="cellIs" dxfId="108" priority="5798" operator="equal">
      <formula>"Under Review"</formula>
    </cfRule>
    <cfRule type="cellIs" dxfId="107" priority="5797" operator="equal">
      <formula>"Investigation Cell"</formula>
    </cfRule>
  </conditionalFormatting>
  <conditionalFormatting sqref="S593:S594">
    <cfRule type="cellIs" dxfId="106" priority="5684" operator="equal">
      <formula>"Closed"</formula>
    </cfRule>
    <cfRule type="cellIs" dxfId="105" priority="5682" operator="equal">
      <formula>"Under Review"</formula>
    </cfRule>
    <cfRule type="cellIs" dxfId="104" priority="5681" operator="equal">
      <formula>"Investigation Cell"</formula>
    </cfRule>
  </conditionalFormatting>
  <conditionalFormatting sqref="S604:S606">
    <cfRule type="cellIs" dxfId="103" priority="6170" operator="equal">
      <formula>"Closed"</formula>
    </cfRule>
    <cfRule type="cellIs" dxfId="102" priority="6168" operator="equal">
      <formula>"Under Review"</formula>
    </cfRule>
    <cfRule type="cellIs" dxfId="101" priority="6167" operator="equal">
      <formula>"Investigation Cell"</formula>
    </cfRule>
  </conditionalFormatting>
  <conditionalFormatting sqref="S608:S611">
    <cfRule type="cellIs" dxfId="100" priority="5199" operator="equal">
      <formula>"Investigation Cell"</formula>
    </cfRule>
    <cfRule type="cellIs" dxfId="99" priority="5202" operator="equal">
      <formula>"Closed"</formula>
    </cfRule>
    <cfRule type="cellIs" dxfId="98" priority="5200" operator="equal">
      <formula>"Under Review"</formula>
    </cfRule>
  </conditionalFormatting>
  <conditionalFormatting sqref="S619:S624">
    <cfRule type="cellIs" dxfId="97" priority="5189" operator="equal">
      <formula>"Pending"</formula>
    </cfRule>
  </conditionalFormatting>
  <conditionalFormatting sqref="S627">
    <cfRule type="cellIs" dxfId="96" priority="5343" operator="equal">
      <formula>"Pending"</formula>
    </cfRule>
  </conditionalFormatting>
  <conditionalFormatting sqref="S636:S639">
    <cfRule type="cellIs" dxfId="95" priority="5290" operator="equal">
      <formula>"Closed"</formula>
    </cfRule>
    <cfRule type="cellIs" dxfId="94" priority="5288" operator="equal">
      <formula>"Under Review"</formula>
    </cfRule>
    <cfRule type="cellIs" dxfId="93" priority="5287" operator="equal">
      <formula>"Investigation Cell"</formula>
    </cfRule>
  </conditionalFormatting>
  <conditionalFormatting sqref="S647 S649">
    <cfRule type="cellIs" dxfId="92" priority="5214" operator="equal">
      <formula>"Closed"</formula>
    </cfRule>
    <cfRule type="cellIs" dxfId="91" priority="5212" operator="equal">
      <formula>"Under Review"</formula>
    </cfRule>
    <cfRule type="cellIs" dxfId="90" priority="5211" operator="equal">
      <formula>"Investigation Cell"</formula>
    </cfRule>
  </conditionalFormatting>
  <conditionalFormatting sqref="S655:S657">
    <cfRule type="cellIs" dxfId="89" priority="5083" operator="equal">
      <formula>"Investigation Cell"</formula>
    </cfRule>
    <cfRule type="cellIs" dxfId="88" priority="5084" operator="equal">
      <formula>"Under Review"</formula>
    </cfRule>
    <cfRule type="cellIs" dxfId="87" priority="5086" operator="equal">
      <formula>"Closed"</formula>
    </cfRule>
  </conditionalFormatting>
  <conditionalFormatting sqref="S661">
    <cfRule type="cellIs" dxfId="86" priority="5062" operator="equal">
      <formula>"Closed"</formula>
    </cfRule>
    <cfRule type="cellIs" dxfId="85" priority="5059" operator="equal">
      <formula>"Investigation Cell"</formula>
    </cfRule>
    <cfRule type="cellIs" dxfId="84" priority="5060" operator="equal">
      <formula>"Under Review"</formula>
    </cfRule>
  </conditionalFormatting>
  <conditionalFormatting sqref="S682">
    <cfRule type="cellIs" dxfId="83" priority="4883" operator="equal">
      <formula>"Investigation Cell"</formula>
    </cfRule>
    <cfRule type="cellIs" dxfId="82" priority="4884" operator="equal">
      <formula>"Under Review"</formula>
    </cfRule>
    <cfRule type="cellIs" dxfId="81" priority="4886" operator="equal">
      <formula>"Closed"</formula>
    </cfRule>
  </conditionalFormatting>
  <conditionalFormatting sqref="S684">
    <cfRule type="cellIs" dxfId="80" priority="4870" operator="equal">
      <formula>"Closed"</formula>
    </cfRule>
    <cfRule type="cellIs" dxfId="79" priority="4868" operator="equal">
      <formula>"Under Review"</formula>
    </cfRule>
    <cfRule type="cellIs" dxfId="78" priority="4867" operator="equal">
      <formula>"Investigation Cell"</formula>
    </cfRule>
  </conditionalFormatting>
  <conditionalFormatting sqref="S696:S699">
    <cfRule type="cellIs" dxfId="77" priority="4726" operator="equal">
      <formula>"Closed"</formula>
    </cfRule>
    <cfRule type="cellIs" dxfId="76" priority="4724" operator="equal">
      <formula>"Under Review"</formula>
    </cfRule>
    <cfRule type="cellIs" dxfId="75" priority="4723" operator="equal">
      <formula>"Investigation Cell"</formula>
    </cfRule>
  </conditionalFormatting>
  <conditionalFormatting sqref="S841">
    <cfRule type="cellIs" dxfId="74" priority="3939" operator="equal">
      <formula>"Investigation Cell"</formula>
    </cfRule>
    <cfRule type="cellIs" dxfId="73" priority="3942" operator="equal">
      <formula>"Closed"</formula>
    </cfRule>
    <cfRule type="cellIs" dxfId="72" priority="3940" operator="equal">
      <formula>"Under Review"</formula>
    </cfRule>
  </conditionalFormatting>
  <conditionalFormatting sqref="S847:S855">
    <cfRule type="cellIs" dxfId="71" priority="3866" operator="equal">
      <formula>"Closed"</formula>
    </cfRule>
    <cfRule type="cellIs" dxfId="70" priority="3863" operator="equal">
      <formula>"Investigation Cell"</formula>
    </cfRule>
    <cfRule type="cellIs" dxfId="69" priority="3865" operator="equal">
      <formula>"Pending"</formula>
    </cfRule>
    <cfRule type="cellIs" dxfId="68" priority="3864" operator="equal">
      <formula>"Under Review"</formula>
    </cfRule>
  </conditionalFormatting>
  <conditionalFormatting sqref="S367:T367">
    <cfRule type="cellIs" dxfId="67" priority="322" operator="equal">
      <formula>"Under Review"</formula>
    </cfRule>
    <cfRule type="cellIs" dxfId="66" priority="323" operator="equal">
      <formula>"Closed"</formula>
    </cfRule>
    <cfRule type="cellIs" dxfId="65" priority="324" operator="equal">
      <formula>"Pending"</formula>
    </cfRule>
    <cfRule type="cellIs" dxfId="64" priority="321" operator="equal">
      <formula>"Investigation Cell"</formula>
    </cfRule>
  </conditionalFormatting>
  <conditionalFormatting sqref="T1">
    <cfRule type="cellIs" dxfId="63" priority="8243" operator="equal">
      <formula>"Nil"</formula>
    </cfRule>
  </conditionalFormatting>
  <conditionalFormatting sqref="T2:T30">
    <cfRule type="cellIs" dxfId="62" priority="2324" operator="equal">
      <formula>"Closed"</formula>
    </cfRule>
    <cfRule type="cellIs" dxfId="61" priority="2322" operator="equal">
      <formula>"Under Review"</formula>
    </cfRule>
    <cfRule type="cellIs" dxfId="60" priority="2323" operator="equal">
      <formula>"Pending"</formula>
    </cfRule>
    <cfRule type="cellIs" dxfId="59" priority="2321" operator="equal">
      <formula>"Investigation Cell"</formula>
    </cfRule>
  </conditionalFormatting>
  <conditionalFormatting sqref="T33:T71">
    <cfRule type="cellIs" dxfId="58" priority="1821" operator="equal">
      <formula>"Investigation Cell"</formula>
    </cfRule>
    <cfRule type="cellIs" dxfId="57" priority="1822" operator="equal">
      <formula>"Under Review"</formula>
    </cfRule>
    <cfRule type="cellIs" dxfId="56" priority="1823" operator="equal">
      <formula>"Pending"</formula>
    </cfRule>
    <cfRule type="cellIs" dxfId="55" priority="1824" operator="equal">
      <formula>"Closed"</formula>
    </cfRule>
  </conditionalFormatting>
  <conditionalFormatting sqref="T74:T326 Q325:S325">
    <cfRule type="cellIs" dxfId="54" priority="532" operator="equal">
      <formula>"Investigation Cell"</formula>
    </cfRule>
    <cfRule type="cellIs" dxfId="53" priority="533" operator="equal">
      <formula>"Under Review"</formula>
    </cfRule>
    <cfRule type="cellIs" dxfId="52" priority="534" operator="equal">
      <formula>"Closed"</formula>
    </cfRule>
    <cfRule type="cellIs" dxfId="51" priority="535" operator="equal">
      <formula>"Pending"</formula>
    </cfRule>
  </conditionalFormatting>
  <conditionalFormatting sqref="T328:T366">
    <cfRule type="cellIs" dxfId="50" priority="328" operator="equal">
      <formula>"Under Review"</formula>
    </cfRule>
    <cfRule type="cellIs" dxfId="49" priority="329" operator="equal">
      <formula>"Closed"</formula>
    </cfRule>
    <cfRule type="cellIs" dxfId="48" priority="330" operator="equal">
      <formula>"Pending"</formula>
    </cfRule>
    <cfRule type="cellIs" dxfId="47" priority="327" operator="equal">
      <formula>"Investigation Cell"</formula>
    </cfRule>
  </conditionalFormatting>
  <conditionalFormatting sqref="T368:T398">
    <cfRule type="cellIs" dxfId="46" priority="103" operator="equal">
      <formula>"Investigation Cell"</formula>
    </cfRule>
    <cfRule type="cellIs" dxfId="45" priority="104" operator="equal">
      <formula>"Under Review"</formula>
    </cfRule>
    <cfRule type="cellIs" dxfId="44" priority="105" operator="equal">
      <formula>"Pending"</formula>
    </cfRule>
    <cfRule type="cellIs" dxfId="43" priority="106" operator="equal">
      <formula>"Closed"</formula>
    </cfRule>
  </conditionalFormatting>
  <conditionalFormatting sqref="T402:T408">
    <cfRule type="cellIs" dxfId="42" priority="65" operator="equal">
      <formula>"Investigation Cell"</formula>
    </cfRule>
    <cfRule type="cellIs" dxfId="41" priority="66" operator="equal">
      <formula>"Under Review"</formula>
    </cfRule>
    <cfRule type="cellIs" dxfId="40" priority="67" operator="equal">
      <formula>"Pending"</formula>
    </cfRule>
    <cfRule type="cellIs" dxfId="39" priority="68" operator="equal">
      <formula>"Closed"</formula>
    </cfRule>
  </conditionalFormatting>
  <conditionalFormatting sqref="T411:T412">
    <cfRule type="cellIs" dxfId="38" priority="44" operator="equal">
      <formula>"Closed"</formula>
    </cfRule>
    <cfRule type="cellIs" dxfId="37" priority="43" operator="equal">
      <formula>"Pending"</formula>
    </cfRule>
    <cfRule type="cellIs" dxfId="36" priority="42" operator="equal">
      <formula>"Under Review"</formula>
    </cfRule>
    <cfRule type="cellIs" dxfId="35" priority="41" operator="equal">
      <formula>"Investigation Cell"</formula>
    </cfRule>
  </conditionalFormatting>
  <conditionalFormatting sqref="T417:T421">
    <cfRule type="cellIs" dxfId="34" priority="1" operator="equal">
      <formula>"Investigation Cell"</formula>
    </cfRule>
    <cfRule type="cellIs" dxfId="33" priority="3" operator="equal">
      <formula>"Pending"</formula>
    </cfRule>
    <cfRule type="cellIs" dxfId="32" priority="2" operator="equal">
      <formula>"Under Review"</formula>
    </cfRule>
    <cfRule type="cellIs" dxfId="31" priority="4" operator="equal">
      <formula>"Closed"</formula>
    </cfRule>
  </conditionalFormatting>
  <conditionalFormatting sqref="T423:T438">
    <cfRule type="cellIs" dxfId="30" priority="5442" operator="equal">
      <formula>"Closed"</formula>
    </cfRule>
    <cfRule type="cellIs" dxfId="29" priority="5441" operator="equal">
      <formula>"Pending"</formula>
    </cfRule>
    <cfRule type="cellIs" dxfId="28" priority="5440" operator="equal">
      <formula>"Under Review"</formula>
    </cfRule>
    <cfRule type="cellIs" dxfId="27" priority="5439" operator="equal">
      <formula>"Investigation Cell"</formula>
    </cfRule>
  </conditionalFormatting>
  <conditionalFormatting sqref="T440:T680">
    <cfRule type="cellIs" dxfId="26" priority="3726" operator="equal">
      <formula>"Closed"</formula>
    </cfRule>
    <cfRule type="cellIs" dxfId="25" priority="3725" operator="equal">
      <formula>"Pending"</formula>
    </cfRule>
    <cfRule type="cellIs" dxfId="24" priority="3724" operator="equal">
      <formula>"Under Review"</formula>
    </cfRule>
    <cfRule type="cellIs" dxfId="23" priority="3723" operator="equal">
      <formula>"Investigation Cell"</formula>
    </cfRule>
  </conditionalFormatting>
  <conditionalFormatting sqref="T682:T748">
    <cfRule type="cellIs" dxfId="22" priority="3734" operator="equal">
      <formula>"Closed"</formula>
    </cfRule>
    <cfRule type="cellIs" dxfId="21" priority="3733" operator="equal">
      <formula>"Pending"</formula>
    </cfRule>
    <cfRule type="cellIs" dxfId="20" priority="3732" operator="equal">
      <formula>"Under Review"</formula>
    </cfRule>
    <cfRule type="cellIs" dxfId="19" priority="3731" operator="equal">
      <formula>"Investigation Cell"</formula>
    </cfRule>
  </conditionalFormatting>
  <conditionalFormatting sqref="T750:T864">
    <cfRule type="cellIs" dxfId="18" priority="2785" operator="equal">
      <formula>"Pending"</formula>
    </cfRule>
    <cfRule type="cellIs" dxfId="17" priority="2784" operator="equal">
      <formula>"Under Review"</formula>
    </cfRule>
    <cfRule type="cellIs" dxfId="16" priority="2783" operator="equal">
      <formula>"Investigation Cell"</formula>
    </cfRule>
    <cfRule type="cellIs" dxfId="15" priority="2786" operator="equal">
      <formula>"Closed"</formula>
    </cfRule>
  </conditionalFormatting>
  <conditionalFormatting sqref="T866:T1088">
    <cfRule type="cellIs" dxfId="14" priority="2470" operator="equal">
      <formula>"Closed"</formula>
    </cfRule>
    <cfRule type="cellIs" dxfId="13" priority="2469" operator="equal">
      <formula>"Pending"</formula>
    </cfRule>
    <cfRule type="cellIs" dxfId="12" priority="2468" operator="equal">
      <formula>"Under Review"</formula>
    </cfRule>
    <cfRule type="cellIs" dxfId="11" priority="2467" operator="equal">
      <formula>"Investigation Cell"</formula>
    </cfRule>
  </conditionalFormatting>
  <conditionalFormatting sqref="T31:U32">
    <cfRule type="cellIs" dxfId="10" priority="2316" operator="equal">
      <formula>"Closed"</formula>
    </cfRule>
    <cfRule type="cellIs" dxfId="9" priority="2315" operator="equal">
      <formula>"Pending"</formula>
    </cfRule>
    <cfRule type="cellIs" dxfId="8" priority="2314" operator="equal">
      <formula>"Under Review"</formula>
    </cfRule>
    <cfRule type="cellIs" dxfId="7" priority="2313" operator="equal">
      <formula>"Investigation Cell"</formula>
    </cfRule>
  </conditionalFormatting>
  <conditionalFormatting sqref="U1">
    <cfRule type="containsText" dxfId="6" priority="8249" operator="containsText" text="Pending">
      <formula>NOT(ISERROR(SEARCH("Pending",U1)))</formula>
    </cfRule>
    <cfRule type="containsText" dxfId="5" priority="8250" operator="containsText" text="Closed">
      <formula>NOT(ISERROR(SEARCH("Closed",U1)))</formula>
    </cfRule>
    <cfRule type="containsText" dxfId="4" priority="8251" operator="containsText" text="Under Review">
      <formula>NOT(ISERROR(SEARCH("Under Review",U1)))</formula>
    </cfRule>
  </conditionalFormatting>
  <pageMargins left="0.7" right="0.7" top="0.75" bottom="0.75" header="0.3" footer="0.3"/>
  <pageSetup paperSize="9" scale="16"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27"/>
  <sheetViews>
    <sheetView workbookViewId="0">
      <selection activeCell="L1" sqref="L1"/>
    </sheetView>
  </sheetViews>
  <sheetFormatPr baseColWidth="10" defaultColWidth="8.83203125" defaultRowHeight="15" x14ac:dyDescent="0.2"/>
  <cols>
    <col min="1" max="1" width="5.83203125" bestFit="1" customWidth="1"/>
    <col min="2" max="2" width="10.1640625" bestFit="1" customWidth="1"/>
    <col min="3" max="3" width="8.1640625" bestFit="1" customWidth="1"/>
    <col min="4" max="4" width="7.6640625" bestFit="1" customWidth="1"/>
    <col min="5" max="5" width="9.83203125" bestFit="1" customWidth="1"/>
    <col min="6" max="6" width="15.83203125" bestFit="1" customWidth="1"/>
    <col min="7" max="7" width="38.5" bestFit="1" customWidth="1"/>
    <col min="8" max="8" width="35.33203125" bestFit="1" customWidth="1"/>
    <col min="9" max="9" width="8.33203125" bestFit="1" customWidth="1"/>
    <col min="10" max="10" width="10.5" bestFit="1" customWidth="1"/>
    <col min="11" max="11" width="5.5" bestFit="1" customWidth="1"/>
  </cols>
  <sheetData>
    <row r="1" spans="1:11" x14ac:dyDescent="0.2">
      <c r="A1" s="3" t="s">
        <v>0</v>
      </c>
      <c r="B1" s="6" t="s">
        <v>1</v>
      </c>
      <c r="C1" s="1" t="s">
        <v>2</v>
      </c>
      <c r="D1" s="2" t="s">
        <v>3</v>
      </c>
      <c r="E1" s="2" t="s">
        <v>4</v>
      </c>
      <c r="F1" s="2" t="s">
        <v>5</v>
      </c>
      <c r="G1" s="2" t="s">
        <v>6</v>
      </c>
      <c r="H1" s="2" t="s">
        <v>7</v>
      </c>
      <c r="I1" s="2" t="s">
        <v>8</v>
      </c>
      <c r="J1" s="2" t="s">
        <v>9</v>
      </c>
      <c r="K1" s="2" t="s">
        <v>10</v>
      </c>
    </row>
    <row r="2" spans="1:11" x14ac:dyDescent="0.2">
      <c r="A2" s="4">
        <v>21</v>
      </c>
      <c r="B2" s="9">
        <v>45296</v>
      </c>
      <c r="C2" s="8" t="s">
        <v>43</v>
      </c>
      <c r="D2" s="8" t="s">
        <v>44</v>
      </c>
      <c r="E2" s="8" t="s">
        <v>45</v>
      </c>
      <c r="F2" s="8" t="s">
        <v>46</v>
      </c>
      <c r="G2" s="8" t="s">
        <v>47</v>
      </c>
      <c r="H2" s="8" t="s">
        <v>27</v>
      </c>
      <c r="I2" s="8" t="s">
        <v>28</v>
      </c>
      <c r="J2" s="8">
        <v>128</v>
      </c>
      <c r="K2" s="8" t="s">
        <v>26</v>
      </c>
    </row>
    <row r="3" spans="1:11" x14ac:dyDescent="0.2">
      <c r="A3" s="4">
        <v>29</v>
      </c>
      <c r="B3" s="9">
        <v>45299</v>
      </c>
      <c r="C3" s="8" t="s">
        <v>49</v>
      </c>
      <c r="D3" s="8" t="s">
        <v>50</v>
      </c>
      <c r="E3" s="8" t="s">
        <v>51</v>
      </c>
      <c r="F3" s="8" t="s">
        <v>46</v>
      </c>
      <c r="G3" s="8" t="s">
        <v>52</v>
      </c>
      <c r="H3" s="8" t="s">
        <v>38</v>
      </c>
      <c r="I3" s="8"/>
      <c r="J3" s="8">
        <v>241</v>
      </c>
      <c r="K3" s="8" t="s">
        <v>26</v>
      </c>
    </row>
    <row r="4" spans="1:11" x14ac:dyDescent="0.2">
      <c r="A4" s="4">
        <v>30</v>
      </c>
      <c r="B4" s="9">
        <v>45299</v>
      </c>
      <c r="C4" s="8" t="s">
        <v>49</v>
      </c>
      <c r="D4" s="8" t="s">
        <v>50</v>
      </c>
      <c r="E4" s="8" t="s">
        <v>51</v>
      </c>
      <c r="F4" s="8" t="s">
        <v>46</v>
      </c>
      <c r="G4" s="8" t="s">
        <v>52</v>
      </c>
      <c r="H4" s="8" t="s">
        <v>39</v>
      </c>
      <c r="I4" s="8">
        <v>1</v>
      </c>
      <c r="J4" s="8">
        <v>1.32</v>
      </c>
      <c r="K4" s="8" t="s">
        <v>34</v>
      </c>
    </row>
    <row r="5" spans="1:11" x14ac:dyDescent="0.2">
      <c r="A5" s="4">
        <v>31</v>
      </c>
      <c r="B5" s="9">
        <v>45299</v>
      </c>
      <c r="C5" s="8" t="s">
        <v>49</v>
      </c>
      <c r="D5" s="8" t="s">
        <v>50</v>
      </c>
      <c r="E5" s="8" t="s">
        <v>51</v>
      </c>
      <c r="F5" s="8" t="s">
        <v>46</v>
      </c>
      <c r="G5" s="8" t="s">
        <v>52</v>
      </c>
      <c r="H5" s="8" t="s">
        <v>53</v>
      </c>
      <c r="I5" s="8">
        <v>300</v>
      </c>
      <c r="J5" s="8">
        <v>135</v>
      </c>
      <c r="K5" s="8" t="s">
        <v>25</v>
      </c>
    </row>
    <row r="6" spans="1:11" x14ac:dyDescent="0.2">
      <c r="A6" s="4">
        <v>50</v>
      </c>
      <c r="B6" s="9">
        <v>45303</v>
      </c>
      <c r="C6" s="8" t="s">
        <v>40</v>
      </c>
      <c r="D6" s="8" t="s">
        <v>59</v>
      </c>
      <c r="E6" s="8" t="s">
        <v>60</v>
      </c>
      <c r="F6" s="8" t="s">
        <v>46</v>
      </c>
      <c r="G6" s="8" t="s">
        <v>61</v>
      </c>
      <c r="H6" s="8" t="s">
        <v>24</v>
      </c>
      <c r="I6" s="8">
        <v>1050</v>
      </c>
      <c r="J6" s="8">
        <v>1110</v>
      </c>
      <c r="K6" s="8" t="s">
        <v>25</v>
      </c>
    </row>
    <row r="7" spans="1:11" x14ac:dyDescent="0.2">
      <c r="A7" s="4">
        <v>51</v>
      </c>
      <c r="B7" s="9">
        <v>45303</v>
      </c>
      <c r="C7" s="8" t="s">
        <v>40</v>
      </c>
      <c r="D7" s="8" t="s">
        <v>62</v>
      </c>
      <c r="E7" s="8" t="s">
        <v>63</v>
      </c>
      <c r="F7" s="8" t="s">
        <v>46</v>
      </c>
      <c r="G7" s="8" t="s">
        <v>61</v>
      </c>
      <c r="H7" s="8" t="s">
        <v>27</v>
      </c>
      <c r="I7" s="8" t="s">
        <v>28</v>
      </c>
      <c r="J7" s="8">
        <v>2930</v>
      </c>
      <c r="K7" s="8" t="s">
        <v>26</v>
      </c>
    </row>
    <row r="8" spans="1:11" x14ac:dyDescent="0.2">
      <c r="A8" s="4">
        <v>57</v>
      </c>
      <c r="B8" s="9">
        <v>45303</v>
      </c>
      <c r="C8" s="8" t="s">
        <v>40</v>
      </c>
      <c r="D8" s="8" t="s">
        <v>62</v>
      </c>
      <c r="E8" s="8" t="s">
        <v>63</v>
      </c>
      <c r="F8" s="8" t="s">
        <v>46</v>
      </c>
      <c r="G8" s="8" t="s">
        <v>61</v>
      </c>
      <c r="H8" s="8" t="s">
        <v>57</v>
      </c>
      <c r="I8" s="8">
        <v>30</v>
      </c>
      <c r="J8" s="8">
        <v>31.5</v>
      </c>
      <c r="K8" s="8"/>
    </row>
    <row r="9" spans="1:11" x14ac:dyDescent="0.2">
      <c r="A9" s="4">
        <v>134</v>
      </c>
      <c r="B9" s="9">
        <v>45319</v>
      </c>
      <c r="C9" s="8" t="s">
        <v>49</v>
      </c>
      <c r="D9" s="8" t="s">
        <v>72</v>
      </c>
      <c r="E9" s="8" t="s">
        <v>73</v>
      </c>
      <c r="F9" s="8" t="s">
        <v>46</v>
      </c>
      <c r="G9" s="8" t="s">
        <v>33</v>
      </c>
      <c r="H9" s="8" t="s">
        <v>57</v>
      </c>
      <c r="I9" s="8">
        <v>30</v>
      </c>
      <c r="J9" s="8">
        <v>31.8</v>
      </c>
      <c r="K9" s="8" t="s">
        <v>36</v>
      </c>
    </row>
    <row r="10" spans="1:11" x14ac:dyDescent="0.2">
      <c r="A10" s="4">
        <v>236</v>
      </c>
      <c r="B10" s="9">
        <v>45344</v>
      </c>
      <c r="C10" s="8" t="s">
        <v>66</v>
      </c>
      <c r="D10" s="8" t="s">
        <v>75</v>
      </c>
      <c r="E10" s="8" t="s">
        <v>76</v>
      </c>
      <c r="F10" s="8" t="s">
        <v>46</v>
      </c>
      <c r="G10" s="8" t="s">
        <v>74</v>
      </c>
      <c r="H10" s="8" t="s">
        <v>27</v>
      </c>
      <c r="I10" s="8" t="s">
        <v>28</v>
      </c>
      <c r="J10" s="8" t="s">
        <v>80</v>
      </c>
      <c r="K10" s="8" t="s">
        <v>26</v>
      </c>
    </row>
    <row r="11" spans="1:11" x14ac:dyDescent="0.2">
      <c r="A11" s="4">
        <v>238</v>
      </c>
      <c r="B11" s="9">
        <v>45344</v>
      </c>
      <c r="C11" s="8" t="s">
        <v>66</v>
      </c>
      <c r="D11" s="8" t="s">
        <v>81</v>
      </c>
      <c r="E11" s="8" t="s">
        <v>82</v>
      </c>
      <c r="F11" s="8" t="s">
        <v>46</v>
      </c>
      <c r="G11" s="8" t="s">
        <v>74</v>
      </c>
      <c r="H11" s="8" t="s">
        <v>58</v>
      </c>
      <c r="I11" s="8">
        <v>1200</v>
      </c>
      <c r="J11" s="8">
        <v>1157</v>
      </c>
      <c r="K11" s="8" t="s">
        <v>26</v>
      </c>
    </row>
    <row r="12" spans="1:11" x14ac:dyDescent="0.2">
      <c r="A12" s="4">
        <v>331</v>
      </c>
      <c r="B12" s="9">
        <v>45371</v>
      </c>
      <c r="C12" s="8" t="s">
        <v>49</v>
      </c>
      <c r="D12" s="8" t="s">
        <v>86</v>
      </c>
      <c r="E12" s="8" t="s">
        <v>87</v>
      </c>
      <c r="F12" s="8" t="s">
        <v>46</v>
      </c>
      <c r="G12" s="8" t="s">
        <v>88</v>
      </c>
      <c r="H12" s="8" t="s">
        <v>58</v>
      </c>
      <c r="I12" s="8">
        <v>1200</v>
      </c>
      <c r="J12" s="8">
        <v>1038</v>
      </c>
      <c r="K12" s="8" t="s">
        <v>26</v>
      </c>
    </row>
    <row r="13" spans="1:11" x14ac:dyDescent="0.2">
      <c r="A13" s="4">
        <v>332</v>
      </c>
      <c r="B13" s="9">
        <v>45371</v>
      </c>
      <c r="C13" s="8" t="s">
        <v>49</v>
      </c>
      <c r="D13" s="8" t="s">
        <v>86</v>
      </c>
      <c r="E13" s="8" t="s">
        <v>87</v>
      </c>
      <c r="F13" s="8" t="s">
        <v>46</v>
      </c>
      <c r="G13" s="8" t="s">
        <v>88</v>
      </c>
      <c r="H13" s="8" t="s">
        <v>89</v>
      </c>
      <c r="I13" s="8" t="s">
        <v>69</v>
      </c>
      <c r="J13" s="8" t="s">
        <v>90</v>
      </c>
      <c r="K13" s="8" t="s">
        <v>42</v>
      </c>
    </row>
    <row r="14" spans="1:11" x14ac:dyDescent="0.2">
      <c r="A14" s="4">
        <v>419</v>
      </c>
      <c r="B14" s="9">
        <v>45394</v>
      </c>
      <c r="C14" s="8" t="s">
        <v>54</v>
      </c>
      <c r="D14" s="8" t="s">
        <v>93</v>
      </c>
      <c r="E14" s="8" t="s">
        <v>56</v>
      </c>
      <c r="F14" s="8" t="s">
        <v>46</v>
      </c>
      <c r="G14" s="8" t="s">
        <v>65</v>
      </c>
      <c r="H14" s="8" t="s">
        <v>24</v>
      </c>
      <c r="I14" s="8">
        <v>1050</v>
      </c>
      <c r="J14" s="8">
        <v>1140</v>
      </c>
      <c r="K14" s="8" t="s">
        <v>25</v>
      </c>
    </row>
    <row r="15" spans="1:11" x14ac:dyDescent="0.2">
      <c r="A15" s="4">
        <v>421</v>
      </c>
      <c r="B15" s="9">
        <v>45395</v>
      </c>
      <c r="C15" s="8" t="s">
        <v>66</v>
      </c>
      <c r="D15" s="8" t="s">
        <v>94</v>
      </c>
      <c r="E15" s="8" t="s">
        <v>95</v>
      </c>
      <c r="F15" s="8" t="s">
        <v>46</v>
      </c>
      <c r="G15" s="8" t="s">
        <v>70</v>
      </c>
      <c r="H15" s="8" t="s">
        <v>84</v>
      </c>
      <c r="I15" s="8">
        <v>175</v>
      </c>
      <c r="J15" s="8">
        <v>176.3</v>
      </c>
      <c r="K15" s="8" t="s">
        <v>42</v>
      </c>
    </row>
    <row r="16" spans="1:11" x14ac:dyDescent="0.2">
      <c r="A16" s="4">
        <v>425</v>
      </c>
      <c r="B16" s="7">
        <v>45395</v>
      </c>
      <c r="C16" s="8" t="s">
        <v>66</v>
      </c>
      <c r="D16" s="8" t="s">
        <v>93</v>
      </c>
      <c r="E16" s="8" t="s">
        <v>56</v>
      </c>
      <c r="F16" s="8" t="s">
        <v>46</v>
      </c>
      <c r="G16" s="8" t="s">
        <v>70</v>
      </c>
      <c r="H16" s="8" t="s">
        <v>24</v>
      </c>
      <c r="I16" s="8">
        <v>1050</v>
      </c>
      <c r="J16" s="8">
        <v>1095</v>
      </c>
      <c r="K16" s="8" t="s">
        <v>25</v>
      </c>
    </row>
    <row r="17" spans="1:11" x14ac:dyDescent="0.2">
      <c r="A17" s="4">
        <v>471</v>
      </c>
      <c r="B17" s="9">
        <v>45406</v>
      </c>
      <c r="C17" s="8" t="s">
        <v>66</v>
      </c>
      <c r="D17" s="8" t="s">
        <v>99</v>
      </c>
      <c r="E17" s="8" t="s">
        <v>100</v>
      </c>
      <c r="F17" s="8" t="s">
        <v>46</v>
      </c>
      <c r="G17" s="8" t="s">
        <v>92</v>
      </c>
      <c r="H17" s="8" t="s">
        <v>24</v>
      </c>
      <c r="I17" s="8">
        <v>1100</v>
      </c>
      <c r="J17" s="8">
        <v>1230</v>
      </c>
      <c r="K17" s="8" t="s">
        <v>25</v>
      </c>
    </row>
    <row r="18" spans="1:11" x14ac:dyDescent="0.2">
      <c r="A18" s="4">
        <v>480</v>
      </c>
      <c r="B18" s="9">
        <v>45407</v>
      </c>
      <c r="C18" s="8" t="s">
        <v>40</v>
      </c>
      <c r="D18" s="8" t="s">
        <v>96</v>
      </c>
      <c r="E18" s="8" t="s">
        <v>97</v>
      </c>
      <c r="F18" s="8" t="s">
        <v>46</v>
      </c>
      <c r="G18" s="8" t="s">
        <v>92</v>
      </c>
      <c r="H18" s="8" t="s">
        <v>78</v>
      </c>
      <c r="I18" s="8">
        <v>2</v>
      </c>
      <c r="J18" s="8">
        <v>2.04</v>
      </c>
      <c r="K18" s="8" t="s">
        <v>79</v>
      </c>
    </row>
    <row r="19" spans="1:11" x14ac:dyDescent="0.2">
      <c r="A19" s="4">
        <v>599</v>
      </c>
      <c r="B19" s="9">
        <v>45440</v>
      </c>
      <c r="C19" s="8" t="s">
        <v>30</v>
      </c>
      <c r="D19" s="8" t="s">
        <v>102</v>
      </c>
      <c r="E19" s="8" t="s">
        <v>103</v>
      </c>
      <c r="F19" s="8" t="s">
        <v>46</v>
      </c>
      <c r="G19" s="8" t="s">
        <v>77</v>
      </c>
      <c r="H19" s="8" t="s">
        <v>64</v>
      </c>
      <c r="I19" s="8">
        <v>3000</v>
      </c>
      <c r="J19" s="8">
        <v>3473</v>
      </c>
      <c r="K19" s="8" t="s">
        <v>26</v>
      </c>
    </row>
    <row r="20" spans="1:11" x14ac:dyDescent="0.2">
      <c r="A20" s="4">
        <v>724</v>
      </c>
      <c r="B20" s="9">
        <v>45474</v>
      </c>
      <c r="C20" s="8" t="s">
        <v>68</v>
      </c>
      <c r="D20" s="8" t="s">
        <v>86</v>
      </c>
      <c r="E20" s="8" t="s">
        <v>35</v>
      </c>
      <c r="F20" s="8" t="s">
        <v>46</v>
      </c>
      <c r="G20" s="8" t="s">
        <v>91</v>
      </c>
      <c r="H20" s="8" t="s">
        <v>71</v>
      </c>
      <c r="I20" s="8">
        <v>36</v>
      </c>
      <c r="J20" s="8">
        <v>40.6</v>
      </c>
      <c r="K20" s="8" t="s">
        <v>36</v>
      </c>
    </row>
    <row r="21" spans="1:11" x14ac:dyDescent="0.2">
      <c r="A21" s="4">
        <v>805</v>
      </c>
      <c r="B21" s="9">
        <v>45505</v>
      </c>
      <c r="C21" s="8" t="s">
        <v>105</v>
      </c>
      <c r="D21" s="8" t="s">
        <v>106</v>
      </c>
      <c r="E21" s="8" t="s">
        <v>107</v>
      </c>
      <c r="F21" s="8" t="s">
        <v>46</v>
      </c>
      <c r="G21" s="8" t="s">
        <v>55</v>
      </c>
      <c r="H21" s="8" t="s">
        <v>58</v>
      </c>
      <c r="I21" s="8">
        <v>1200</v>
      </c>
      <c r="J21" s="8">
        <v>1159</v>
      </c>
      <c r="K21" s="8" t="s">
        <v>26</v>
      </c>
    </row>
    <row r="22" spans="1:11" x14ac:dyDescent="0.2">
      <c r="A22" s="4">
        <v>822</v>
      </c>
      <c r="B22" s="9">
        <v>45512</v>
      </c>
      <c r="C22" s="8" t="s">
        <v>48</v>
      </c>
      <c r="D22" s="8" t="s">
        <v>106</v>
      </c>
      <c r="E22" s="8" t="s">
        <v>107</v>
      </c>
      <c r="F22" s="8" t="s">
        <v>46</v>
      </c>
      <c r="G22" s="8" t="s">
        <v>67</v>
      </c>
      <c r="H22" s="8" t="s">
        <v>58</v>
      </c>
      <c r="I22" s="8">
        <v>1000</v>
      </c>
      <c r="J22" s="8">
        <v>989</v>
      </c>
      <c r="K22" s="8" t="s">
        <v>26</v>
      </c>
    </row>
    <row r="23" spans="1:11" x14ac:dyDescent="0.2">
      <c r="A23" s="4">
        <v>827</v>
      </c>
      <c r="B23" s="9">
        <v>45513</v>
      </c>
      <c r="C23" s="8" t="s">
        <v>48</v>
      </c>
      <c r="D23" s="8" t="s">
        <v>106</v>
      </c>
      <c r="E23" s="8" t="s">
        <v>107</v>
      </c>
      <c r="F23" s="8" t="s">
        <v>46</v>
      </c>
      <c r="G23" s="8" t="s">
        <v>55</v>
      </c>
      <c r="H23" s="8" t="s">
        <v>58</v>
      </c>
      <c r="I23" s="8">
        <v>1000</v>
      </c>
      <c r="J23" s="8">
        <v>957</v>
      </c>
      <c r="K23" s="8" t="s">
        <v>26</v>
      </c>
    </row>
    <row r="24" spans="1:11" x14ac:dyDescent="0.2">
      <c r="A24" s="4">
        <v>929</v>
      </c>
      <c r="B24" s="9">
        <v>45565</v>
      </c>
      <c r="C24" s="8" t="s">
        <v>30</v>
      </c>
      <c r="D24" s="8" t="s">
        <v>108</v>
      </c>
      <c r="E24" s="8" t="s">
        <v>56</v>
      </c>
      <c r="F24" s="8" t="s">
        <v>46</v>
      </c>
      <c r="G24" s="8" t="s">
        <v>83</v>
      </c>
      <c r="H24" s="8" t="s">
        <v>24</v>
      </c>
      <c r="I24" s="8">
        <v>1050</v>
      </c>
      <c r="J24" s="8">
        <v>1125</v>
      </c>
      <c r="K24" s="8" t="s">
        <v>25</v>
      </c>
    </row>
    <row r="25" spans="1:11" x14ac:dyDescent="0.2">
      <c r="A25" s="5">
        <v>1003</v>
      </c>
      <c r="B25" s="9">
        <v>45602</v>
      </c>
      <c r="C25" s="8" t="s">
        <v>37</v>
      </c>
      <c r="D25" s="8" t="s">
        <v>101</v>
      </c>
      <c r="E25" s="8" t="s">
        <v>41</v>
      </c>
      <c r="F25" s="8" t="s">
        <v>46</v>
      </c>
      <c r="G25" s="8" t="s">
        <v>104</v>
      </c>
      <c r="H25" s="8" t="s">
        <v>38</v>
      </c>
      <c r="I25" s="8"/>
      <c r="J25" s="8">
        <v>115</v>
      </c>
      <c r="K25" s="8" t="s">
        <v>26</v>
      </c>
    </row>
    <row r="26" spans="1:11" x14ac:dyDescent="0.2">
      <c r="A26" s="4">
        <v>1004</v>
      </c>
      <c r="B26" s="9">
        <v>45602</v>
      </c>
      <c r="C26" s="8" t="s">
        <v>37</v>
      </c>
      <c r="D26" s="8" t="s">
        <v>101</v>
      </c>
      <c r="E26" s="8" t="s">
        <v>41</v>
      </c>
      <c r="F26" s="8" t="s">
        <v>46</v>
      </c>
      <c r="G26" s="8" t="s">
        <v>104</v>
      </c>
      <c r="H26" s="8" t="s">
        <v>39</v>
      </c>
      <c r="I26" s="8">
        <v>1</v>
      </c>
      <c r="J26" s="8">
        <v>2.37</v>
      </c>
      <c r="K26" s="8" t="s">
        <v>34</v>
      </c>
    </row>
    <row r="27" spans="1:11" x14ac:dyDescent="0.2">
      <c r="A27" s="10">
        <v>1088</v>
      </c>
      <c r="B27" s="11">
        <v>45654</v>
      </c>
      <c r="C27" s="10" t="s">
        <v>54</v>
      </c>
      <c r="D27" s="10" t="s">
        <v>31</v>
      </c>
      <c r="E27" s="10" t="s">
        <v>32</v>
      </c>
      <c r="F27" s="10" t="s">
        <v>46</v>
      </c>
      <c r="G27" s="10" t="s">
        <v>98</v>
      </c>
      <c r="H27" s="10" t="s">
        <v>64</v>
      </c>
      <c r="I27" s="10">
        <v>3000</v>
      </c>
      <c r="J27" s="10">
        <v>3671</v>
      </c>
      <c r="K27" s="10" t="s">
        <v>26</v>
      </c>
    </row>
  </sheetData>
  <pageMargins left="0.7" right="0.7" top="0.75" bottom="0.75" header="0.3" footer="0.3"/>
  <pageSetup scale="7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60EA-DC92-594C-BFE2-0A9627964A2E}">
  <dimension ref="A1"/>
  <sheetViews>
    <sheetView topLeftCell="A2" workbookViewId="0">
      <selection activeCell="A3" sqref="A3"/>
    </sheetView>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672F0-8DF1-D647-AFD9-E25CCF7D8A83}">
  <dimension ref="A3:E6"/>
  <sheetViews>
    <sheetView topLeftCell="A2" workbookViewId="0">
      <selection activeCell="B31" sqref="A3:E32"/>
    </sheetView>
  </sheetViews>
  <sheetFormatPr baseColWidth="10" defaultRowHeight="15" x14ac:dyDescent="0.2"/>
  <cols>
    <col min="1" max="1" width="18" bestFit="1" customWidth="1"/>
    <col min="2" max="2" width="14.83203125" bestFit="1" customWidth="1"/>
    <col min="3" max="3" width="5.6640625" bestFit="1" customWidth="1"/>
    <col min="4" max="4" width="4.1640625" bestFit="1" customWidth="1"/>
    <col min="5" max="5" width="10" bestFit="1" customWidth="1"/>
  </cols>
  <sheetData>
    <row r="3" spans="1:5" x14ac:dyDescent="0.2">
      <c r="A3" s="69" t="s">
        <v>1433</v>
      </c>
      <c r="B3" s="69" t="s">
        <v>1465</v>
      </c>
    </row>
    <row r="4" spans="1:5" x14ac:dyDescent="0.2">
      <c r="A4" s="69" t="s">
        <v>1431</v>
      </c>
      <c r="B4" t="s">
        <v>11</v>
      </c>
      <c r="C4" t="s">
        <v>1466</v>
      </c>
      <c r="D4" t="s">
        <v>1467</v>
      </c>
      <c r="E4" t="s">
        <v>1432</v>
      </c>
    </row>
    <row r="5" spans="1:5" x14ac:dyDescent="0.2">
      <c r="A5" s="68" t="s">
        <v>1438</v>
      </c>
      <c r="B5">
        <v>7</v>
      </c>
      <c r="C5">
        <v>3</v>
      </c>
      <c r="D5">
        <v>1</v>
      </c>
      <c r="E5">
        <v>11</v>
      </c>
    </row>
    <row r="6" spans="1:5" x14ac:dyDescent="0.2">
      <c r="A6" s="68" t="s">
        <v>1432</v>
      </c>
      <c r="B6">
        <v>7</v>
      </c>
      <c r="C6">
        <v>3</v>
      </c>
      <c r="D6">
        <v>1</v>
      </c>
      <c r="E6">
        <v>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644C-FDD6-0742-B731-4A2119028A6F}">
  <dimension ref="A1"/>
  <sheetViews>
    <sheetView workbookViewId="0">
      <selection activeCell="N32" sqref="N32"/>
    </sheetView>
  </sheetViews>
  <sheetFormatPr baseColWidth="10" defaultRowHeight="15" x14ac:dyDescent="0.2"/>
  <cols>
    <col min="1" max="16384" width="10.83203125" style="7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5FA42-0C0F-194E-A5E9-6F8810A91188}">
  <dimension ref="A3:B11"/>
  <sheetViews>
    <sheetView workbookViewId="0">
      <selection activeCell="L20" sqref="L20"/>
    </sheetView>
  </sheetViews>
  <sheetFormatPr baseColWidth="10" defaultRowHeight="15" x14ac:dyDescent="0.2"/>
  <cols>
    <col min="1" max="1" width="30" bestFit="1" customWidth="1"/>
    <col min="2" max="2" width="18" bestFit="1" customWidth="1"/>
  </cols>
  <sheetData>
    <row r="3" spans="1:2" x14ac:dyDescent="0.2">
      <c r="A3" s="69" t="s">
        <v>1431</v>
      </c>
      <c r="B3" t="s">
        <v>1433</v>
      </c>
    </row>
    <row r="4" spans="1:2" x14ac:dyDescent="0.2">
      <c r="A4" s="68" t="s">
        <v>27</v>
      </c>
      <c r="B4">
        <v>34</v>
      </c>
    </row>
    <row r="5" spans="1:2" x14ac:dyDescent="0.2">
      <c r="A5" s="68" t="s">
        <v>39</v>
      </c>
      <c r="B5">
        <v>20</v>
      </c>
    </row>
    <row r="6" spans="1:2" x14ac:dyDescent="0.2">
      <c r="A6" s="68" t="s">
        <v>24</v>
      </c>
      <c r="B6">
        <v>16</v>
      </c>
    </row>
    <row r="7" spans="1:2" x14ac:dyDescent="0.2">
      <c r="A7" s="68" t="s">
        <v>529</v>
      </c>
      <c r="B7">
        <v>9</v>
      </c>
    </row>
    <row r="8" spans="1:2" x14ac:dyDescent="0.2">
      <c r="A8" s="68" t="s">
        <v>53</v>
      </c>
      <c r="B8">
        <v>9</v>
      </c>
    </row>
    <row r="9" spans="1:2" x14ac:dyDescent="0.2">
      <c r="A9" s="68" t="s">
        <v>38</v>
      </c>
      <c r="B9">
        <v>9</v>
      </c>
    </row>
    <row r="10" spans="1:2" x14ac:dyDescent="0.2">
      <c r="A10" s="68" t="s">
        <v>778</v>
      </c>
      <c r="B10">
        <v>8</v>
      </c>
    </row>
    <row r="11" spans="1:2" x14ac:dyDescent="0.2">
      <c r="A11" s="68" t="s">
        <v>1432</v>
      </c>
      <c r="B11">
        <v>105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B9AEF-A568-1F4D-A344-3C71083C19C4}">
  <dimension ref="A3:E6"/>
  <sheetViews>
    <sheetView workbookViewId="0">
      <selection activeCell="L6" sqref="L6"/>
    </sheetView>
  </sheetViews>
  <sheetFormatPr baseColWidth="10" defaultRowHeight="15" x14ac:dyDescent="0.2"/>
  <cols>
    <col min="1" max="1" width="18" bestFit="1" customWidth="1"/>
    <col min="2" max="2" width="14.83203125" bestFit="1" customWidth="1"/>
    <col min="3" max="3" width="5.6640625" bestFit="1" customWidth="1"/>
    <col min="4" max="4" width="4.1640625" bestFit="1" customWidth="1"/>
    <col min="5" max="5" width="10" bestFit="1" customWidth="1"/>
  </cols>
  <sheetData>
    <row r="3" spans="1:5" x14ac:dyDescent="0.2">
      <c r="A3" s="69" t="s">
        <v>1433</v>
      </c>
      <c r="B3" s="69" t="s">
        <v>1465</v>
      </c>
    </row>
    <row r="4" spans="1:5" x14ac:dyDescent="0.2">
      <c r="A4" s="69" t="s">
        <v>1431</v>
      </c>
      <c r="B4" t="s">
        <v>11</v>
      </c>
      <c r="C4" t="s">
        <v>1466</v>
      </c>
      <c r="D4" t="s">
        <v>1467</v>
      </c>
      <c r="E4" t="s">
        <v>1432</v>
      </c>
    </row>
    <row r="5" spans="1:5" x14ac:dyDescent="0.2">
      <c r="A5" s="68" t="s">
        <v>1468</v>
      </c>
      <c r="B5">
        <v>78</v>
      </c>
      <c r="C5">
        <v>11</v>
      </c>
      <c r="D5">
        <v>4</v>
      </c>
      <c r="E5">
        <v>93</v>
      </c>
    </row>
    <row r="6" spans="1:5" x14ac:dyDescent="0.2">
      <c r="A6" s="68" t="s">
        <v>1432</v>
      </c>
      <c r="B6">
        <v>78</v>
      </c>
      <c r="C6">
        <v>11</v>
      </c>
      <c r="D6">
        <v>4</v>
      </c>
      <c r="E6">
        <v>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6FA36-7E9F-7E48-B215-75FADC8A3D50}">
  <dimension ref="A3:B184"/>
  <sheetViews>
    <sheetView workbookViewId="0">
      <selection activeCell="H28" sqref="H28"/>
    </sheetView>
  </sheetViews>
  <sheetFormatPr baseColWidth="10" defaultRowHeight="15" x14ac:dyDescent="0.2"/>
  <cols>
    <col min="1" max="1" width="56.83203125" bestFit="1" customWidth="1"/>
    <col min="2" max="2" width="18" bestFit="1" customWidth="1"/>
  </cols>
  <sheetData>
    <row r="3" spans="1:2" x14ac:dyDescent="0.2">
      <c r="A3" s="69" t="s">
        <v>1431</v>
      </c>
      <c r="B3" t="s">
        <v>1433</v>
      </c>
    </row>
    <row r="4" spans="1:2" x14ac:dyDescent="0.2">
      <c r="A4" s="68" t="s">
        <v>1523</v>
      </c>
      <c r="B4">
        <v>3</v>
      </c>
    </row>
    <row r="5" spans="1:2" x14ac:dyDescent="0.2">
      <c r="A5" s="68" t="s">
        <v>1621</v>
      </c>
      <c r="B5">
        <v>3</v>
      </c>
    </row>
    <row r="6" spans="1:2" x14ac:dyDescent="0.2">
      <c r="A6" s="68" t="s">
        <v>1576</v>
      </c>
      <c r="B6">
        <v>3</v>
      </c>
    </row>
    <row r="7" spans="1:2" x14ac:dyDescent="0.2">
      <c r="A7" s="68" t="s">
        <v>1642</v>
      </c>
      <c r="B7">
        <v>2</v>
      </c>
    </row>
    <row r="8" spans="1:2" x14ac:dyDescent="0.2">
      <c r="A8" s="68" t="s">
        <v>1625</v>
      </c>
      <c r="B8">
        <v>2</v>
      </c>
    </row>
    <row r="9" spans="1:2" x14ac:dyDescent="0.2">
      <c r="A9" s="68" t="s">
        <v>1597</v>
      </c>
      <c r="B9">
        <v>2</v>
      </c>
    </row>
    <row r="10" spans="1:2" x14ac:dyDescent="0.2">
      <c r="A10" s="68" t="s">
        <v>1500</v>
      </c>
      <c r="B10">
        <v>2</v>
      </c>
    </row>
    <row r="11" spans="1:2" x14ac:dyDescent="0.2">
      <c r="A11" s="68" t="s">
        <v>1629</v>
      </c>
      <c r="B11">
        <v>2</v>
      </c>
    </row>
    <row r="12" spans="1:2" x14ac:dyDescent="0.2">
      <c r="A12" s="68" t="s">
        <v>1518</v>
      </c>
      <c r="B12">
        <v>2</v>
      </c>
    </row>
    <row r="13" spans="1:2" x14ac:dyDescent="0.2">
      <c r="A13" s="68" t="s">
        <v>1645</v>
      </c>
      <c r="B13">
        <v>2</v>
      </c>
    </row>
    <row r="14" spans="1:2" x14ac:dyDescent="0.2">
      <c r="A14" s="68" t="s">
        <v>1484</v>
      </c>
      <c r="B14">
        <v>2</v>
      </c>
    </row>
    <row r="15" spans="1:2" x14ac:dyDescent="0.2">
      <c r="A15" s="68" t="s">
        <v>1486</v>
      </c>
      <c r="B15">
        <v>2</v>
      </c>
    </row>
    <row r="16" spans="1:2" x14ac:dyDescent="0.2">
      <c r="A16" s="68" t="s">
        <v>1547</v>
      </c>
      <c r="B16">
        <v>2</v>
      </c>
    </row>
    <row r="17" spans="1:2" x14ac:dyDescent="0.2">
      <c r="A17" s="68" t="s">
        <v>1626</v>
      </c>
      <c r="B17">
        <v>2</v>
      </c>
    </row>
    <row r="18" spans="1:2" x14ac:dyDescent="0.2">
      <c r="A18" s="68" t="s">
        <v>1553</v>
      </c>
      <c r="B18">
        <v>2</v>
      </c>
    </row>
    <row r="19" spans="1:2" x14ac:dyDescent="0.2">
      <c r="A19" s="68" t="s">
        <v>1641</v>
      </c>
      <c r="B19">
        <v>2</v>
      </c>
    </row>
    <row r="20" spans="1:2" x14ac:dyDescent="0.2">
      <c r="A20" s="68" t="s">
        <v>1563</v>
      </c>
      <c r="B20">
        <v>2</v>
      </c>
    </row>
    <row r="21" spans="1:2" x14ac:dyDescent="0.2">
      <c r="A21" s="68" t="s">
        <v>1643</v>
      </c>
      <c r="B21">
        <v>2</v>
      </c>
    </row>
    <row r="22" spans="1:2" x14ac:dyDescent="0.2">
      <c r="A22" s="68" t="s">
        <v>1649</v>
      </c>
      <c r="B22">
        <v>2</v>
      </c>
    </row>
    <row r="23" spans="1:2" x14ac:dyDescent="0.2">
      <c r="A23" s="68" t="s">
        <v>1488</v>
      </c>
      <c r="B23">
        <v>2</v>
      </c>
    </row>
    <row r="24" spans="1:2" x14ac:dyDescent="0.2">
      <c r="A24" s="68" t="s">
        <v>1583</v>
      </c>
      <c r="B24">
        <v>2</v>
      </c>
    </row>
    <row r="25" spans="1:2" x14ac:dyDescent="0.2">
      <c r="A25" s="68" t="s">
        <v>1471</v>
      </c>
      <c r="B25">
        <v>2</v>
      </c>
    </row>
    <row r="26" spans="1:2" x14ac:dyDescent="0.2">
      <c r="A26" s="68" t="s">
        <v>1620</v>
      </c>
      <c r="B26">
        <v>1</v>
      </c>
    </row>
    <row r="27" spans="1:2" x14ac:dyDescent="0.2">
      <c r="A27" s="68" t="s">
        <v>1588</v>
      </c>
      <c r="B27">
        <v>1</v>
      </c>
    </row>
    <row r="28" spans="1:2" x14ac:dyDescent="0.2">
      <c r="A28" s="68" t="s">
        <v>1572</v>
      </c>
      <c r="B28">
        <v>1</v>
      </c>
    </row>
    <row r="29" spans="1:2" x14ac:dyDescent="0.2">
      <c r="A29" s="68" t="s">
        <v>1494</v>
      </c>
      <c r="B29">
        <v>1</v>
      </c>
    </row>
    <row r="30" spans="1:2" x14ac:dyDescent="0.2">
      <c r="A30" s="68" t="s">
        <v>1604</v>
      </c>
      <c r="B30">
        <v>1</v>
      </c>
    </row>
    <row r="31" spans="1:2" x14ac:dyDescent="0.2">
      <c r="A31" s="68" t="s">
        <v>1495</v>
      </c>
      <c r="B31">
        <v>1</v>
      </c>
    </row>
    <row r="32" spans="1:2" x14ac:dyDescent="0.2">
      <c r="A32" s="68" t="s">
        <v>1636</v>
      </c>
      <c r="B32">
        <v>1</v>
      </c>
    </row>
    <row r="33" spans="1:2" x14ac:dyDescent="0.2">
      <c r="A33" s="68" t="s">
        <v>1496</v>
      </c>
      <c r="B33">
        <v>1</v>
      </c>
    </row>
    <row r="34" spans="1:2" x14ac:dyDescent="0.2">
      <c r="A34" s="68" t="s">
        <v>1580</v>
      </c>
      <c r="B34">
        <v>1</v>
      </c>
    </row>
    <row r="35" spans="1:2" x14ac:dyDescent="0.2">
      <c r="A35" s="68" t="s">
        <v>1497</v>
      </c>
      <c r="B35">
        <v>1</v>
      </c>
    </row>
    <row r="36" spans="1:2" x14ac:dyDescent="0.2">
      <c r="A36" s="68" t="s">
        <v>1596</v>
      </c>
      <c r="B36">
        <v>1</v>
      </c>
    </row>
    <row r="37" spans="1:2" x14ac:dyDescent="0.2">
      <c r="A37" s="68" t="s">
        <v>1498</v>
      </c>
      <c r="B37">
        <v>1</v>
      </c>
    </row>
    <row r="38" spans="1:2" x14ac:dyDescent="0.2">
      <c r="A38" s="68" t="s">
        <v>1612</v>
      </c>
      <c r="B38">
        <v>1</v>
      </c>
    </row>
    <row r="39" spans="1:2" x14ac:dyDescent="0.2">
      <c r="A39" s="68" t="s">
        <v>1499</v>
      </c>
      <c r="B39">
        <v>1</v>
      </c>
    </row>
    <row r="40" spans="1:2" x14ac:dyDescent="0.2">
      <c r="A40" s="68" t="s">
        <v>1628</v>
      </c>
      <c r="B40">
        <v>1</v>
      </c>
    </row>
    <row r="41" spans="1:2" x14ac:dyDescent="0.2">
      <c r="A41" s="68" t="s">
        <v>1475</v>
      </c>
      <c r="B41">
        <v>1</v>
      </c>
    </row>
    <row r="42" spans="1:2" x14ac:dyDescent="0.2">
      <c r="A42" s="68" t="s">
        <v>1644</v>
      </c>
      <c r="B42">
        <v>1</v>
      </c>
    </row>
    <row r="43" spans="1:2" x14ac:dyDescent="0.2">
      <c r="A43" s="68" t="s">
        <v>1501</v>
      </c>
      <c r="B43">
        <v>1</v>
      </c>
    </row>
    <row r="44" spans="1:2" x14ac:dyDescent="0.2">
      <c r="A44" s="68" t="s">
        <v>1481</v>
      </c>
      <c r="B44">
        <v>1</v>
      </c>
    </row>
    <row r="45" spans="1:2" x14ac:dyDescent="0.2">
      <c r="A45" s="68" t="s">
        <v>1502</v>
      </c>
      <c r="B45">
        <v>1</v>
      </c>
    </row>
    <row r="46" spans="1:2" x14ac:dyDescent="0.2">
      <c r="A46" s="68" t="s">
        <v>1584</v>
      </c>
      <c r="B46">
        <v>1</v>
      </c>
    </row>
    <row r="47" spans="1:2" x14ac:dyDescent="0.2">
      <c r="A47" s="68" t="s">
        <v>1503</v>
      </c>
      <c r="B47">
        <v>1</v>
      </c>
    </row>
    <row r="48" spans="1:2" x14ac:dyDescent="0.2">
      <c r="A48" s="68" t="s">
        <v>1592</v>
      </c>
      <c r="B48">
        <v>1</v>
      </c>
    </row>
    <row r="49" spans="1:2" x14ac:dyDescent="0.2">
      <c r="A49" s="68" t="s">
        <v>1504</v>
      </c>
      <c r="B49">
        <v>1</v>
      </c>
    </row>
    <row r="50" spans="1:2" x14ac:dyDescent="0.2">
      <c r="A50" s="68" t="s">
        <v>1600</v>
      </c>
      <c r="B50">
        <v>1</v>
      </c>
    </row>
    <row r="51" spans="1:2" x14ac:dyDescent="0.2">
      <c r="A51" s="68" t="s">
        <v>1505</v>
      </c>
      <c r="B51">
        <v>1</v>
      </c>
    </row>
    <row r="52" spans="1:2" x14ac:dyDescent="0.2">
      <c r="A52" s="68" t="s">
        <v>1608</v>
      </c>
      <c r="B52">
        <v>1</v>
      </c>
    </row>
    <row r="53" spans="1:2" x14ac:dyDescent="0.2">
      <c r="A53" s="68" t="s">
        <v>1506</v>
      </c>
      <c r="B53">
        <v>1</v>
      </c>
    </row>
    <row r="54" spans="1:2" x14ac:dyDescent="0.2">
      <c r="A54" s="68" t="s">
        <v>1616</v>
      </c>
      <c r="B54">
        <v>1</v>
      </c>
    </row>
    <row r="55" spans="1:2" x14ac:dyDescent="0.2">
      <c r="A55" s="68" t="s">
        <v>1507</v>
      </c>
      <c r="B55">
        <v>1</v>
      </c>
    </row>
    <row r="56" spans="1:2" x14ac:dyDescent="0.2">
      <c r="A56" s="68" t="s">
        <v>1624</v>
      </c>
      <c r="B56">
        <v>1</v>
      </c>
    </row>
    <row r="57" spans="1:2" x14ac:dyDescent="0.2">
      <c r="A57" s="68" t="s">
        <v>1508</v>
      </c>
      <c r="B57">
        <v>1</v>
      </c>
    </row>
    <row r="58" spans="1:2" x14ac:dyDescent="0.2">
      <c r="A58" s="68" t="s">
        <v>1632</v>
      </c>
      <c r="B58">
        <v>1</v>
      </c>
    </row>
    <row r="59" spans="1:2" x14ac:dyDescent="0.2">
      <c r="A59" s="68" t="s">
        <v>1509</v>
      </c>
      <c r="B59">
        <v>1</v>
      </c>
    </row>
    <row r="60" spans="1:2" x14ac:dyDescent="0.2">
      <c r="A60" s="68" t="s">
        <v>1640</v>
      </c>
      <c r="B60">
        <v>1</v>
      </c>
    </row>
    <row r="61" spans="1:2" x14ac:dyDescent="0.2">
      <c r="A61" s="68" t="s">
        <v>1510</v>
      </c>
      <c r="B61">
        <v>1</v>
      </c>
    </row>
    <row r="62" spans="1:2" x14ac:dyDescent="0.2">
      <c r="A62" s="68" t="s">
        <v>1648</v>
      </c>
      <c r="B62">
        <v>1</v>
      </c>
    </row>
    <row r="63" spans="1:2" x14ac:dyDescent="0.2">
      <c r="A63" s="68" t="s">
        <v>1511</v>
      </c>
      <c r="B63">
        <v>1</v>
      </c>
    </row>
    <row r="64" spans="1:2" x14ac:dyDescent="0.2">
      <c r="A64" s="68" t="s">
        <v>1574</v>
      </c>
      <c r="B64">
        <v>1</v>
      </c>
    </row>
    <row r="65" spans="1:2" x14ac:dyDescent="0.2">
      <c r="A65" s="68" t="s">
        <v>1512</v>
      </c>
      <c r="B65">
        <v>1</v>
      </c>
    </row>
    <row r="66" spans="1:2" x14ac:dyDescent="0.2">
      <c r="A66" s="68" t="s">
        <v>1578</v>
      </c>
      <c r="B66">
        <v>1</v>
      </c>
    </row>
    <row r="67" spans="1:2" x14ac:dyDescent="0.2">
      <c r="A67" s="68" t="s">
        <v>1513</v>
      </c>
      <c r="B67">
        <v>1</v>
      </c>
    </row>
    <row r="68" spans="1:2" x14ac:dyDescent="0.2">
      <c r="A68" s="68" t="s">
        <v>1582</v>
      </c>
      <c r="B68">
        <v>1</v>
      </c>
    </row>
    <row r="69" spans="1:2" x14ac:dyDescent="0.2">
      <c r="A69" s="68" t="s">
        <v>1514</v>
      </c>
      <c r="B69">
        <v>1</v>
      </c>
    </row>
    <row r="70" spans="1:2" x14ac:dyDescent="0.2">
      <c r="A70" s="68" t="s">
        <v>1586</v>
      </c>
      <c r="B70">
        <v>1</v>
      </c>
    </row>
    <row r="71" spans="1:2" x14ac:dyDescent="0.2">
      <c r="A71" s="68" t="s">
        <v>1515</v>
      </c>
      <c r="B71">
        <v>1</v>
      </c>
    </row>
    <row r="72" spans="1:2" x14ac:dyDescent="0.2">
      <c r="A72" s="68" t="s">
        <v>1590</v>
      </c>
      <c r="B72">
        <v>1</v>
      </c>
    </row>
    <row r="73" spans="1:2" x14ac:dyDescent="0.2">
      <c r="A73" s="68" t="s">
        <v>1516</v>
      </c>
      <c r="B73">
        <v>1</v>
      </c>
    </row>
    <row r="74" spans="1:2" x14ac:dyDescent="0.2">
      <c r="A74" s="68" t="s">
        <v>1594</v>
      </c>
      <c r="B74">
        <v>1</v>
      </c>
    </row>
    <row r="75" spans="1:2" x14ac:dyDescent="0.2">
      <c r="A75" s="68" t="s">
        <v>1517</v>
      </c>
      <c r="B75">
        <v>1</v>
      </c>
    </row>
    <row r="76" spans="1:2" x14ac:dyDescent="0.2">
      <c r="A76" s="68" t="s">
        <v>1598</v>
      </c>
      <c r="B76">
        <v>1</v>
      </c>
    </row>
    <row r="77" spans="1:2" x14ac:dyDescent="0.2">
      <c r="A77" s="68" t="s">
        <v>1476</v>
      </c>
      <c r="B77">
        <v>1</v>
      </c>
    </row>
    <row r="78" spans="1:2" x14ac:dyDescent="0.2">
      <c r="A78" s="68" t="s">
        <v>1602</v>
      </c>
      <c r="B78">
        <v>1</v>
      </c>
    </row>
    <row r="79" spans="1:2" x14ac:dyDescent="0.2">
      <c r="A79" s="68" t="s">
        <v>1519</v>
      </c>
      <c r="B79">
        <v>1</v>
      </c>
    </row>
    <row r="80" spans="1:2" x14ac:dyDescent="0.2">
      <c r="A80" s="68" t="s">
        <v>1606</v>
      </c>
      <c r="B80">
        <v>1</v>
      </c>
    </row>
    <row r="81" spans="1:2" x14ac:dyDescent="0.2">
      <c r="A81" s="68" t="s">
        <v>1520</v>
      </c>
      <c r="B81">
        <v>1</v>
      </c>
    </row>
    <row r="82" spans="1:2" x14ac:dyDescent="0.2">
      <c r="A82" s="68" t="s">
        <v>1610</v>
      </c>
      <c r="B82">
        <v>1</v>
      </c>
    </row>
    <row r="83" spans="1:2" x14ac:dyDescent="0.2">
      <c r="A83" s="68" t="s">
        <v>1521</v>
      </c>
      <c r="B83">
        <v>1</v>
      </c>
    </row>
    <row r="84" spans="1:2" x14ac:dyDescent="0.2">
      <c r="A84" s="68" t="s">
        <v>1614</v>
      </c>
      <c r="B84">
        <v>1</v>
      </c>
    </row>
    <row r="85" spans="1:2" x14ac:dyDescent="0.2">
      <c r="A85" s="68" t="s">
        <v>1522</v>
      </c>
      <c r="B85">
        <v>1</v>
      </c>
    </row>
    <row r="86" spans="1:2" x14ac:dyDescent="0.2">
      <c r="A86" s="68" t="s">
        <v>1618</v>
      </c>
      <c r="B86">
        <v>1</v>
      </c>
    </row>
    <row r="87" spans="1:2" x14ac:dyDescent="0.2">
      <c r="A87" s="68" t="s">
        <v>1477</v>
      </c>
      <c r="B87">
        <v>1</v>
      </c>
    </row>
    <row r="88" spans="1:2" x14ac:dyDescent="0.2">
      <c r="A88" s="68" t="s">
        <v>1622</v>
      </c>
      <c r="B88">
        <v>1</v>
      </c>
    </row>
    <row r="89" spans="1:2" x14ac:dyDescent="0.2">
      <c r="A89" s="68" t="s">
        <v>1524</v>
      </c>
      <c r="B89">
        <v>1</v>
      </c>
    </row>
    <row r="90" spans="1:2" x14ac:dyDescent="0.2">
      <c r="A90" s="68" t="s">
        <v>1473</v>
      </c>
      <c r="B90">
        <v>1</v>
      </c>
    </row>
    <row r="91" spans="1:2" x14ac:dyDescent="0.2">
      <c r="A91" s="68" t="s">
        <v>1525</v>
      </c>
      <c r="B91">
        <v>1</v>
      </c>
    </row>
    <row r="92" spans="1:2" x14ac:dyDescent="0.2">
      <c r="A92" s="68" t="s">
        <v>1630</v>
      </c>
      <c r="B92">
        <v>1</v>
      </c>
    </row>
    <row r="93" spans="1:2" x14ac:dyDescent="0.2">
      <c r="A93" s="68" t="s">
        <v>1526</v>
      </c>
      <c r="B93">
        <v>1</v>
      </c>
    </row>
    <row r="94" spans="1:2" x14ac:dyDescent="0.2">
      <c r="A94" s="68" t="s">
        <v>1634</v>
      </c>
      <c r="B94">
        <v>1</v>
      </c>
    </row>
    <row r="95" spans="1:2" x14ac:dyDescent="0.2">
      <c r="A95" s="68" t="s">
        <v>1527</v>
      </c>
      <c r="B95">
        <v>1</v>
      </c>
    </row>
    <row r="96" spans="1:2" x14ac:dyDescent="0.2">
      <c r="A96" s="68" t="s">
        <v>1638</v>
      </c>
      <c r="B96">
        <v>1</v>
      </c>
    </row>
    <row r="97" spans="1:2" x14ac:dyDescent="0.2">
      <c r="A97" s="68" t="s">
        <v>1528</v>
      </c>
      <c r="B97">
        <v>1</v>
      </c>
    </row>
    <row r="98" spans="1:2" x14ac:dyDescent="0.2">
      <c r="A98" s="68" t="s">
        <v>1489</v>
      </c>
      <c r="B98">
        <v>1</v>
      </c>
    </row>
    <row r="99" spans="1:2" x14ac:dyDescent="0.2">
      <c r="A99" s="68" t="s">
        <v>1529</v>
      </c>
      <c r="B99">
        <v>1</v>
      </c>
    </row>
    <row r="100" spans="1:2" x14ac:dyDescent="0.2">
      <c r="A100" s="68" t="s">
        <v>1646</v>
      </c>
      <c r="B100">
        <v>1</v>
      </c>
    </row>
    <row r="101" spans="1:2" x14ac:dyDescent="0.2">
      <c r="A101" s="68" t="s">
        <v>1530</v>
      </c>
      <c r="B101">
        <v>1</v>
      </c>
    </row>
    <row r="102" spans="1:2" x14ac:dyDescent="0.2">
      <c r="A102" s="68" t="s">
        <v>1493</v>
      </c>
      <c r="B102">
        <v>1</v>
      </c>
    </row>
    <row r="103" spans="1:2" x14ac:dyDescent="0.2">
      <c r="A103" s="68" t="s">
        <v>1531</v>
      </c>
      <c r="B103">
        <v>1</v>
      </c>
    </row>
    <row r="104" spans="1:2" x14ac:dyDescent="0.2">
      <c r="A104" s="68" t="s">
        <v>1573</v>
      </c>
      <c r="B104">
        <v>1</v>
      </c>
    </row>
    <row r="105" spans="1:2" x14ac:dyDescent="0.2">
      <c r="A105" s="68" t="s">
        <v>1532</v>
      </c>
      <c r="B105">
        <v>1</v>
      </c>
    </row>
    <row r="106" spans="1:2" x14ac:dyDescent="0.2">
      <c r="A106" s="68" t="s">
        <v>1575</v>
      </c>
      <c r="B106">
        <v>1</v>
      </c>
    </row>
    <row r="107" spans="1:2" x14ac:dyDescent="0.2">
      <c r="A107" s="68" t="s">
        <v>1533</v>
      </c>
      <c r="B107">
        <v>1</v>
      </c>
    </row>
    <row r="108" spans="1:2" x14ac:dyDescent="0.2">
      <c r="A108" s="68" t="s">
        <v>1577</v>
      </c>
      <c r="B108">
        <v>1</v>
      </c>
    </row>
    <row r="109" spans="1:2" x14ac:dyDescent="0.2">
      <c r="A109" s="68" t="s">
        <v>1534</v>
      </c>
      <c r="B109">
        <v>1</v>
      </c>
    </row>
    <row r="110" spans="1:2" x14ac:dyDescent="0.2">
      <c r="A110" s="68" t="s">
        <v>1579</v>
      </c>
      <c r="B110">
        <v>1</v>
      </c>
    </row>
    <row r="111" spans="1:2" x14ac:dyDescent="0.2">
      <c r="A111" s="68" t="s">
        <v>1535</v>
      </c>
      <c r="B111">
        <v>1</v>
      </c>
    </row>
    <row r="112" spans="1:2" x14ac:dyDescent="0.2">
      <c r="A112" s="68" t="s">
        <v>1581</v>
      </c>
      <c r="B112">
        <v>1</v>
      </c>
    </row>
    <row r="113" spans="1:2" x14ac:dyDescent="0.2">
      <c r="A113" s="68" t="s">
        <v>1536</v>
      </c>
      <c r="B113">
        <v>1</v>
      </c>
    </row>
    <row r="114" spans="1:2" x14ac:dyDescent="0.2">
      <c r="A114" s="68" t="s">
        <v>1482</v>
      </c>
      <c r="B114">
        <v>1</v>
      </c>
    </row>
    <row r="115" spans="1:2" x14ac:dyDescent="0.2">
      <c r="A115" s="68" t="s">
        <v>1537</v>
      </c>
      <c r="B115">
        <v>1</v>
      </c>
    </row>
    <row r="116" spans="1:2" x14ac:dyDescent="0.2">
      <c r="A116" s="68" t="s">
        <v>1585</v>
      </c>
      <c r="B116">
        <v>1</v>
      </c>
    </row>
    <row r="117" spans="1:2" x14ac:dyDescent="0.2">
      <c r="A117" s="68" t="s">
        <v>1538</v>
      </c>
      <c r="B117">
        <v>1</v>
      </c>
    </row>
    <row r="118" spans="1:2" x14ac:dyDescent="0.2">
      <c r="A118" s="68" t="s">
        <v>1587</v>
      </c>
      <c r="B118">
        <v>1</v>
      </c>
    </row>
    <row r="119" spans="1:2" x14ac:dyDescent="0.2">
      <c r="A119" s="68" t="s">
        <v>1539</v>
      </c>
      <c r="B119">
        <v>1</v>
      </c>
    </row>
    <row r="120" spans="1:2" x14ac:dyDescent="0.2">
      <c r="A120" s="68" t="s">
        <v>1589</v>
      </c>
      <c r="B120">
        <v>1</v>
      </c>
    </row>
    <row r="121" spans="1:2" x14ac:dyDescent="0.2">
      <c r="A121" s="68" t="s">
        <v>1540</v>
      </c>
      <c r="B121">
        <v>1</v>
      </c>
    </row>
    <row r="122" spans="1:2" x14ac:dyDescent="0.2">
      <c r="A122" s="68" t="s">
        <v>1591</v>
      </c>
      <c r="B122">
        <v>1</v>
      </c>
    </row>
    <row r="123" spans="1:2" x14ac:dyDescent="0.2">
      <c r="A123" s="68" t="s">
        <v>1541</v>
      </c>
      <c r="B123">
        <v>1</v>
      </c>
    </row>
    <row r="124" spans="1:2" x14ac:dyDescent="0.2">
      <c r="A124" s="68" t="s">
        <v>1593</v>
      </c>
      <c r="B124">
        <v>1</v>
      </c>
    </row>
    <row r="125" spans="1:2" x14ac:dyDescent="0.2">
      <c r="A125" s="68" t="s">
        <v>1542</v>
      </c>
      <c r="B125">
        <v>1</v>
      </c>
    </row>
    <row r="126" spans="1:2" x14ac:dyDescent="0.2">
      <c r="A126" s="68" t="s">
        <v>1595</v>
      </c>
      <c r="B126">
        <v>1</v>
      </c>
    </row>
    <row r="127" spans="1:2" x14ac:dyDescent="0.2">
      <c r="A127" s="68" t="s">
        <v>1543</v>
      </c>
      <c r="B127">
        <v>1</v>
      </c>
    </row>
    <row r="128" spans="1:2" x14ac:dyDescent="0.2">
      <c r="A128" s="68" t="s">
        <v>1483</v>
      </c>
      <c r="B128">
        <v>1</v>
      </c>
    </row>
    <row r="129" spans="1:2" x14ac:dyDescent="0.2">
      <c r="A129" s="68" t="s">
        <v>1544</v>
      </c>
      <c r="B129">
        <v>1</v>
      </c>
    </row>
    <row r="130" spans="1:2" x14ac:dyDescent="0.2">
      <c r="A130" s="68" t="s">
        <v>1599</v>
      </c>
      <c r="B130">
        <v>1</v>
      </c>
    </row>
    <row r="131" spans="1:2" x14ac:dyDescent="0.2">
      <c r="A131" s="68" t="s">
        <v>1545</v>
      </c>
      <c r="B131">
        <v>1</v>
      </c>
    </row>
    <row r="132" spans="1:2" x14ac:dyDescent="0.2">
      <c r="A132" s="68" t="s">
        <v>1601</v>
      </c>
      <c r="B132">
        <v>1</v>
      </c>
    </row>
    <row r="133" spans="1:2" x14ac:dyDescent="0.2">
      <c r="A133" s="68" t="s">
        <v>1546</v>
      </c>
      <c r="B133">
        <v>1</v>
      </c>
    </row>
    <row r="134" spans="1:2" x14ac:dyDescent="0.2">
      <c r="A134" s="68" t="s">
        <v>1603</v>
      </c>
      <c r="B134">
        <v>1</v>
      </c>
    </row>
    <row r="135" spans="1:2" x14ac:dyDescent="0.2">
      <c r="A135" s="68" t="s">
        <v>1478</v>
      </c>
      <c r="B135">
        <v>1</v>
      </c>
    </row>
    <row r="136" spans="1:2" x14ac:dyDescent="0.2">
      <c r="A136" s="68" t="s">
        <v>1605</v>
      </c>
      <c r="B136">
        <v>1</v>
      </c>
    </row>
    <row r="137" spans="1:2" x14ac:dyDescent="0.2">
      <c r="A137" s="68" t="s">
        <v>1548</v>
      </c>
      <c r="B137">
        <v>1</v>
      </c>
    </row>
    <row r="138" spans="1:2" x14ac:dyDescent="0.2">
      <c r="A138" s="68" t="s">
        <v>1607</v>
      </c>
      <c r="B138">
        <v>1</v>
      </c>
    </row>
    <row r="139" spans="1:2" x14ac:dyDescent="0.2">
      <c r="A139" s="68" t="s">
        <v>1549</v>
      </c>
      <c r="B139">
        <v>1</v>
      </c>
    </row>
    <row r="140" spans="1:2" x14ac:dyDescent="0.2">
      <c r="A140" s="68" t="s">
        <v>1609</v>
      </c>
      <c r="B140">
        <v>1</v>
      </c>
    </row>
    <row r="141" spans="1:2" x14ac:dyDescent="0.2">
      <c r="A141" s="68" t="s">
        <v>1550</v>
      </c>
      <c r="B141">
        <v>1</v>
      </c>
    </row>
    <row r="142" spans="1:2" x14ac:dyDescent="0.2">
      <c r="A142" s="68" t="s">
        <v>1611</v>
      </c>
      <c r="B142">
        <v>1</v>
      </c>
    </row>
    <row r="143" spans="1:2" x14ac:dyDescent="0.2">
      <c r="A143" s="68" t="s">
        <v>1551</v>
      </c>
      <c r="B143">
        <v>1</v>
      </c>
    </row>
    <row r="144" spans="1:2" x14ac:dyDescent="0.2">
      <c r="A144" s="68" t="s">
        <v>1613</v>
      </c>
      <c r="B144">
        <v>1</v>
      </c>
    </row>
    <row r="145" spans="1:2" x14ac:dyDescent="0.2">
      <c r="A145" s="68" t="s">
        <v>1552</v>
      </c>
      <c r="B145">
        <v>1</v>
      </c>
    </row>
    <row r="146" spans="1:2" x14ac:dyDescent="0.2">
      <c r="A146" s="68" t="s">
        <v>1615</v>
      </c>
      <c r="B146">
        <v>1</v>
      </c>
    </row>
    <row r="147" spans="1:2" x14ac:dyDescent="0.2">
      <c r="A147" s="68" t="s">
        <v>1479</v>
      </c>
      <c r="B147">
        <v>1</v>
      </c>
    </row>
    <row r="148" spans="1:2" x14ac:dyDescent="0.2">
      <c r="A148" s="68" t="s">
        <v>1617</v>
      </c>
      <c r="B148">
        <v>1</v>
      </c>
    </row>
    <row r="149" spans="1:2" x14ac:dyDescent="0.2">
      <c r="A149" s="68" t="s">
        <v>1554</v>
      </c>
      <c r="B149">
        <v>1</v>
      </c>
    </row>
    <row r="150" spans="1:2" x14ac:dyDescent="0.2">
      <c r="A150" s="68" t="s">
        <v>1619</v>
      </c>
      <c r="B150">
        <v>1</v>
      </c>
    </row>
    <row r="151" spans="1:2" x14ac:dyDescent="0.2">
      <c r="A151" s="68" t="s">
        <v>1555</v>
      </c>
      <c r="B151">
        <v>1</v>
      </c>
    </row>
    <row r="152" spans="1:2" x14ac:dyDescent="0.2">
      <c r="A152" s="68" t="s">
        <v>1472</v>
      </c>
      <c r="B152">
        <v>1</v>
      </c>
    </row>
    <row r="153" spans="1:2" x14ac:dyDescent="0.2">
      <c r="A153" s="68" t="s">
        <v>1556</v>
      </c>
      <c r="B153">
        <v>1</v>
      </c>
    </row>
    <row r="154" spans="1:2" x14ac:dyDescent="0.2">
      <c r="A154" s="68" t="s">
        <v>1623</v>
      </c>
      <c r="B154">
        <v>1</v>
      </c>
    </row>
    <row r="155" spans="1:2" x14ac:dyDescent="0.2">
      <c r="A155" s="68" t="s">
        <v>1557</v>
      </c>
      <c r="B155">
        <v>1</v>
      </c>
    </row>
    <row r="156" spans="1:2" x14ac:dyDescent="0.2">
      <c r="A156" s="68" t="s">
        <v>1485</v>
      </c>
      <c r="B156">
        <v>1</v>
      </c>
    </row>
    <row r="157" spans="1:2" x14ac:dyDescent="0.2">
      <c r="A157" s="68" t="s">
        <v>1558</v>
      </c>
      <c r="B157">
        <v>1</v>
      </c>
    </row>
    <row r="158" spans="1:2" x14ac:dyDescent="0.2">
      <c r="A158" s="68" t="s">
        <v>1627</v>
      </c>
      <c r="B158">
        <v>1</v>
      </c>
    </row>
    <row r="159" spans="1:2" x14ac:dyDescent="0.2">
      <c r="A159" s="68" t="s">
        <v>1559</v>
      </c>
      <c r="B159">
        <v>1</v>
      </c>
    </row>
    <row r="160" spans="1:2" x14ac:dyDescent="0.2">
      <c r="A160" s="68" t="s">
        <v>1487</v>
      </c>
      <c r="B160">
        <v>1</v>
      </c>
    </row>
    <row r="161" spans="1:2" x14ac:dyDescent="0.2">
      <c r="A161" s="68" t="s">
        <v>1650</v>
      </c>
      <c r="B161">
        <v>1</v>
      </c>
    </row>
    <row r="162" spans="1:2" x14ac:dyDescent="0.2">
      <c r="A162" s="68" t="s">
        <v>1631</v>
      </c>
      <c r="B162">
        <v>1</v>
      </c>
    </row>
    <row r="163" spans="1:2" x14ac:dyDescent="0.2">
      <c r="A163" s="68" t="s">
        <v>1561</v>
      </c>
      <c r="B163">
        <v>1</v>
      </c>
    </row>
    <row r="164" spans="1:2" x14ac:dyDescent="0.2">
      <c r="A164" s="68" t="s">
        <v>1633</v>
      </c>
      <c r="B164">
        <v>1</v>
      </c>
    </row>
    <row r="165" spans="1:2" x14ac:dyDescent="0.2">
      <c r="A165" s="68" t="s">
        <v>1562</v>
      </c>
      <c r="B165">
        <v>1</v>
      </c>
    </row>
    <row r="166" spans="1:2" x14ac:dyDescent="0.2">
      <c r="A166" s="68" t="s">
        <v>1635</v>
      </c>
      <c r="B166">
        <v>1</v>
      </c>
    </row>
    <row r="167" spans="1:2" x14ac:dyDescent="0.2">
      <c r="A167" s="68" t="s">
        <v>1480</v>
      </c>
      <c r="B167">
        <v>1</v>
      </c>
    </row>
    <row r="168" spans="1:2" x14ac:dyDescent="0.2">
      <c r="A168" s="68" t="s">
        <v>1637</v>
      </c>
      <c r="B168">
        <v>1</v>
      </c>
    </row>
    <row r="169" spans="1:2" x14ac:dyDescent="0.2">
      <c r="A169" s="68" t="s">
        <v>1564</v>
      </c>
      <c r="B169">
        <v>1</v>
      </c>
    </row>
    <row r="170" spans="1:2" x14ac:dyDescent="0.2">
      <c r="A170" s="68" t="s">
        <v>1639</v>
      </c>
      <c r="B170">
        <v>1</v>
      </c>
    </row>
    <row r="171" spans="1:2" x14ac:dyDescent="0.2">
      <c r="A171" s="68" t="s">
        <v>1565</v>
      </c>
      <c r="B171">
        <v>1</v>
      </c>
    </row>
    <row r="172" spans="1:2" x14ac:dyDescent="0.2">
      <c r="A172" s="68" t="s">
        <v>1474</v>
      </c>
      <c r="B172">
        <v>1</v>
      </c>
    </row>
    <row r="173" spans="1:2" x14ac:dyDescent="0.2">
      <c r="A173" s="68" t="s">
        <v>1566</v>
      </c>
      <c r="B173">
        <v>1</v>
      </c>
    </row>
    <row r="174" spans="1:2" x14ac:dyDescent="0.2">
      <c r="A174" s="68" t="s">
        <v>1490</v>
      </c>
      <c r="B174">
        <v>1</v>
      </c>
    </row>
    <row r="175" spans="1:2" x14ac:dyDescent="0.2">
      <c r="A175" s="68" t="s">
        <v>1567</v>
      </c>
      <c r="B175">
        <v>1</v>
      </c>
    </row>
    <row r="176" spans="1:2" x14ac:dyDescent="0.2">
      <c r="A176" s="68" t="s">
        <v>1491</v>
      </c>
      <c r="B176">
        <v>1</v>
      </c>
    </row>
    <row r="177" spans="1:2" x14ac:dyDescent="0.2">
      <c r="A177" s="68" t="s">
        <v>1568</v>
      </c>
      <c r="B177">
        <v>1</v>
      </c>
    </row>
    <row r="178" spans="1:2" x14ac:dyDescent="0.2">
      <c r="A178" s="68" t="s">
        <v>1647</v>
      </c>
      <c r="B178">
        <v>1</v>
      </c>
    </row>
    <row r="179" spans="1:2" x14ac:dyDescent="0.2">
      <c r="A179" s="68" t="s">
        <v>1569</v>
      </c>
      <c r="B179">
        <v>1</v>
      </c>
    </row>
    <row r="180" spans="1:2" x14ac:dyDescent="0.2">
      <c r="A180" s="68" t="s">
        <v>1492</v>
      </c>
      <c r="B180">
        <v>1</v>
      </c>
    </row>
    <row r="181" spans="1:2" x14ac:dyDescent="0.2">
      <c r="A181" s="68" t="s">
        <v>1570</v>
      </c>
      <c r="B181">
        <v>1</v>
      </c>
    </row>
    <row r="182" spans="1:2" x14ac:dyDescent="0.2">
      <c r="A182" s="68" t="s">
        <v>1571</v>
      </c>
      <c r="B182">
        <v>1</v>
      </c>
    </row>
    <row r="183" spans="1:2" x14ac:dyDescent="0.2">
      <c r="A183" s="68" t="s">
        <v>1560</v>
      </c>
      <c r="B183">
        <v>1</v>
      </c>
    </row>
    <row r="184" spans="1:2" x14ac:dyDescent="0.2">
      <c r="A184" s="68" t="s">
        <v>1432</v>
      </c>
      <c r="B184">
        <v>205</v>
      </c>
    </row>
  </sheetData>
  <dataConsolid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73F99-340B-ED4F-9012-7AE24240D038}">
  <dimension ref="A3:B197"/>
  <sheetViews>
    <sheetView workbookViewId="0">
      <selection activeCell="B4" sqref="B4"/>
    </sheetView>
  </sheetViews>
  <sheetFormatPr baseColWidth="10" defaultRowHeight="15" x14ac:dyDescent="0.2"/>
  <cols>
    <col min="1" max="1" width="65.83203125" bestFit="1" customWidth="1"/>
    <col min="2" max="2" width="18" bestFit="1" customWidth="1"/>
  </cols>
  <sheetData>
    <row r="3" spans="1:2" x14ac:dyDescent="0.2">
      <c r="A3" s="69" t="s">
        <v>1431</v>
      </c>
      <c r="B3" t="s">
        <v>1433</v>
      </c>
    </row>
    <row r="4" spans="1:2" x14ac:dyDescent="0.2">
      <c r="A4" s="68" t="s">
        <v>1787</v>
      </c>
      <c r="B4">
        <v>3</v>
      </c>
    </row>
    <row r="5" spans="1:2" x14ac:dyDescent="0.2">
      <c r="A5" s="68" t="s">
        <v>1829</v>
      </c>
      <c r="B5">
        <v>2</v>
      </c>
    </row>
    <row r="6" spans="1:2" x14ac:dyDescent="0.2">
      <c r="A6" s="68" t="s">
        <v>1766</v>
      </c>
      <c r="B6">
        <v>2</v>
      </c>
    </row>
    <row r="7" spans="1:2" x14ac:dyDescent="0.2">
      <c r="A7" s="68" t="s">
        <v>1738</v>
      </c>
      <c r="B7">
        <v>2</v>
      </c>
    </row>
    <row r="8" spans="1:2" x14ac:dyDescent="0.2">
      <c r="A8" s="68" t="s">
        <v>1670</v>
      </c>
      <c r="B8">
        <v>2</v>
      </c>
    </row>
    <row r="9" spans="1:2" x14ac:dyDescent="0.2">
      <c r="A9" s="68" t="s">
        <v>1658</v>
      </c>
      <c r="B9">
        <v>2</v>
      </c>
    </row>
    <row r="10" spans="1:2" x14ac:dyDescent="0.2">
      <c r="A10" s="68" t="s">
        <v>1768</v>
      </c>
      <c r="B10">
        <v>2</v>
      </c>
    </row>
    <row r="11" spans="1:2" x14ac:dyDescent="0.2">
      <c r="A11" s="68" t="s">
        <v>1712</v>
      </c>
      <c r="B11">
        <v>2</v>
      </c>
    </row>
    <row r="12" spans="1:2" x14ac:dyDescent="0.2">
      <c r="A12" s="68" t="s">
        <v>1831</v>
      </c>
      <c r="B12">
        <v>2</v>
      </c>
    </row>
    <row r="13" spans="1:2" x14ac:dyDescent="0.2">
      <c r="A13" s="68" t="s">
        <v>1714</v>
      </c>
      <c r="B13">
        <v>2</v>
      </c>
    </row>
    <row r="14" spans="1:2" x14ac:dyDescent="0.2">
      <c r="A14" s="68" t="s">
        <v>1839</v>
      </c>
      <c r="B14">
        <v>2</v>
      </c>
    </row>
    <row r="15" spans="1:2" x14ac:dyDescent="0.2">
      <c r="A15" s="68" t="s">
        <v>1785</v>
      </c>
      <c r="B15">
        <v>1</v>
      </c>
    </row>
    <row r="16" spans="1:2" x14ac:dyDescent="0.2">
      <c r="A16" s="68" t="s">
        <v>1753</v>
      </c>
      <c r="B16">
        <v>1</v>
      </c>
    </row>
    <row r="17" spans="1:2" x14ac:dyDescent="0.2">
      <c r="A17" s="68" t="s">
        <v>1817</v>
      </c>
      <c r="B17">
        <v>1</v>
      </c>
    </row>
    <row r="18" spans="1:2" x14ac:dyDescent="0.2">
      <c r="A18" s="68" t="s">
        <v>1663</v>
      </c>
      <c r="B18">
        <v>1</v>
      </c>
    </row>
    <row r="19" spans="1:2" x14ac:dyDescent="0.2">
      <c r="A19" s="68" t="s">
        <v>1769</v>
      </c>
      <c r="B19">
        <v>1</v>
      </c>
    </row>
    <row r="20" spans="1:2" x14ac:dyDescent="0.2">
      <c r="A20" s="68" t="s">
        <v>1664</v>
      </c>
      <c r="B20">
        <v>1</v>
      </c>
    </row>
    <row r="21" spans="1:2" x14ac:dyDescent="0.2">
      <c r="A21" s="68" t="s">
        <v>1801</v>
      </c>
      <c r="B21">
        <v>1</v>
      </c>
    </row>
    <row r="22" spans="1:2" x14ac:dyDescent="0.2">
      <c r="A22" s="68" t="s">
        <v>1665</v>
      </c>
      <c r="B22">
        <v>1</v>
      </c>
    </row>
    <row r="23" spans="1:2" x14ac:dyDescent="0.2">
      <c r="A23" s="68" t="s">
        <v>1833</v>
      </c>
      <c r="B23">
        <v>1</v>
      </c>
    </row>
    <row r="24" spans="1:2" x14ac:dyDescent="0.2">
      <c r="A24" s="68" t="s">
        <v>1666</v>
      </c>
      <c r="B24">
        <v>1</v>
      </c>
    </row>
    <row r="25" spans="1:2" x14ac:dyDescent="0.2">
      <c r="A25" s="68" t="s">
        <v>1761</v>
      </c>
      <c r="B25">
        <v>1</v>
      </c>
    </row>
    <row r="26" spans="1:2" x14ac:dyDescent="0.2">
      <c r="A26" s="68" t="s">
        <v>1477</v>
      </c>
      <c r="B26">
        <v>1</v>
      </c>
    </row>
    <row r="27" spans="1:2" x14ac:dyDescent="0.2">
      <c r="A27" s="68" t="s">
        <v>1777</v>
      </c>
      <c r="B27">
        <v>1</v>
      </c>
    </row>
    <row r="28" spans="1:2" x14ac:dyDescent="0.2">
      <c r="A28" s="68" t="s">
        <v>1667</v>
      </c>
      <c r="B28">
        <v>1</v>
      </c>
    </row>
    <row r="29" spans="1:2" x14ac:dyDescent="0.2">
      <c r="A29" s="68" t="s">
        <v>1793</v>
      </c>
      <c r="B29">
        <v>1</v>
      </c>
    </row>
    <row r="30" spans="1:2" x14ac:dyDescent="0.2">
      <c r="A30" s="68" t="s">
        <v>1668</v>
      </c>
      <c r="B30">
        <v>1</v>
      </c>
    </row>
    <row r="31" spans="1:2" x14ac:dyDescent="0.2">
      <c r="A31" s="68" t="s">
        <v>1809</v>
      </c>
      <c r="B31">
        <v>1</v>
      </c>
    </row>
    <row r="32" spans="1:2" x14ac:dyDescent="0.2">
      <c r="A32" s="68" t="s">
        <v>1669</v>
      </c>
      <c r="B32">
        <v>1</v>
      </c>
    </row>
    <row r="33" spans="1:2" x14ac:dyDescent="0.2">
      <c r="A33" s="68" t="s">
        <v>1825</v>
      </c>
      <c r="B33">
        <v>1</v>
      </c>
    </row>
    <row r="34" spans="1:2" x14ac:dyDescent="0.2">
      <c r="A34" s="68" t="s">
        <v>1653</v>
      </c>
      <c r="B34">
        <v>1</v>
      </c>
    </row>
    <row r="35" spans="1:2" x14ac:dyDescent="0.2">
      <c r="A35" s="68" t="s">
        <v>1749</v>
      </c>
      <c r="B35">
        <v>1</v>
      </c>
    </row>
    <row r="36" spans="1:2" x14ac:dyDescent="0.2">
      <c r="A36" s="68" t="s">
        <v>1492</v>
      </c>
      <c r="B36">
        <v>1</v>
      </c>
    </row>
    <row r="37" spans="1:2" x14ac:dyDescent="0.2">
      <c r="A37" s="68" t="s">
        <v>1757</v>
      </c>
      <c r="B37">
        <v>1</v>
      </c>
    </row>
    <row r="38" spans="1:2" x14ac:dyDescent="0.2">
      <c r="A38" s="68" t="s">
        <v>1671</v>
      </c>
      <c r="B38">
        <v>1</v>
      </c>
    </row>
    <row r="39" spans="1:2" x14ac:dyDescent="0.2">
      <c r="A39" s="68" t="s">
        <v>1765</v>
      </c>
      <c r="B39">
        <v>1</v>
      </c>
    </row>
    <row r="40" spans="1:2" x14ac:dyDescent="0.2">
      <c r="A40" s="68" t="s">
        <v>1672</v>
      </c>
      <c r="B40">
        <v>1</v>
      </c>
    </row>
    <row r="41" spans="1:2" x14ac:dyDescent="0.2">
      <c r="A41" s="68" t="s">
        <v>1773</v>
      </c>
      <c r="B41">
        <v>1</v>
      </c>
    </row>
    <row r="42" spans="1:2" x14ac:dyDescent="0.2">
      <c r="A42" s="68" t="s">
        <v>1673</v>
      </c>
      <c r="B42">
        <v>1</v>
      </c>
    </row>
    <row r="43" spans="1:2" x14ac:dyDescent="0.2">
      <c r="A43" s="68" t="s">
        <v>1781</v>
      </c>
      <c r="B43">
        <v>1</v>
      </c>
    </row>
    <row r="44" spans="1:2" x14ac:dyDescent="0.2">
      <c r="A44" s="68" t="s">
        <v>1674</v>
      </c>
      <c r="B44">
        <v>1</v>
      </c>
    </row>
    <row r="45" spans="1:2" x14ac:dyDescent="0.2">
      <c r="A45" s="68" t="s">
        <v>1789</v>
      </c>
      <c r="B45">
        <v>1</v>
      </c>
    </row>
    <row r="46" spans="1:2" x14ac:dyDescent="0.2">
      <c r="A46" s="68" t="s">
        <v>1675</v>
      </c>
      <c r="B46">
        <v>1</v>
      </c>
    </row>
    <row r="47" spans="1:2" x14ac:dyDescent="0.2">
      <c r="A47" s="68" t="s">
        <v>1797</v>
      </c>
      <c r="B47">
        <v>1</v>
      </c>
    </row>
    <row r="48" spans="1:2" x14ac:dyDescent="0.2">
      <c r="A48" s="68" t="s">
        <v>1676</v>
      </c>
      <c r="B48">
        <v>1</v>
      </c>
    </row>
    <row r="49" spans="1:2" x14ac:dyDescent="0.2">
      <c r="A49" s="68" t="s">
        <v>1805</v>
      </c>
      <c r="B49">
        <v>1</v>
      </c>
    </row>
    <row r="50" spans="1:2" x14ac:dyDescent="0.2">
      <c r="A50" s="68" t="s">
        <v>1677</v>
      </c>
      <c r="B50">
        <v>1</v>
      </c>
    </row>
    <row r="51" spans="1:2" x14ac:dyDescent="0.2">
      <c r="A51" s="68" t="s">
        <v>1813</v>
      </c>
      <c r="B51">
        <v>1</v>
      </c>
    </row>
    <row r="52" spans="1:2" x14ac:dyDescent="0.2">
      <c r="A52" s="68" t="s">
        <v>1678</v>
      </c>
      <c r="B52">
        <v>1</v>
      </c>
    </row>
    <row r="53" spans="1:2" x14ac:dyDescent="0.2">
      <c r="A53" s="68" t="s">
        <v>1821</v>
      </c>
      <c r="B53">
        <v>1</v>
      </c>
    </row>
    <row r="54" spans="1:2" x14ac:dyDescent="0.2">
      <c r="A54" s="68" t="s">
        <v>1679</v>
      </c>
      <c r="B54">
        <v>1</v>
      </c>
    </row>
    <row r="55" spans="1:2" x14ac:dyDescent="0.2">
      <c r="A55" s="68" t="s">
        <v>1660</v>
      </c>
      <c r="B55">
        <v>1</v>
      </c>
    </row>
    <row r="56" spans="1:2" x14ac:dyDescent="0.2">
      <c r="A56" s="68" t="s">
        <v>1680</v>
      </c>
      <c r="B56">
        <v>1</v>
      </c>
    </row>
    <row r="57" spans="1:2" x14ac:dyDescent="0.2">
      <c r="A57" s="68" t="s">
        <v>1837</v>
      </c>
      <c r="B57">
        <v>1</v>
      </c>
    </row>
    <row r="58" spans="1:2" x14ac:dyDescent="0.2">
      <c r="A58" s="68" t="s">
        <v>1681</v>
      </c>
      <c r="B58">
        <v>1</v>
      </c>
    </row>
    <row r="59" spans="1:2" x14ac:dyDescent="0.2">
      <c r="A59" s="68" t="s">
        <v>1751</v>
      </c>
      <c r="B59">
        <v>1</v>
      </c>
    </row>
    <row r="60" spans="1:2" x14ac:dyDescent="0.2">
      <c r="A60" s="68" t="s">
        <v>1682</v>
      </c>
      <c r="B60">
        <v>1</v>
      </c>
    </row>
    <row r="61" spans="1:2" x14ac:dyDescent="0.2">
      <c r="A61" s="68" t="s">
        <v>1755</v>
      </c>
      <c r="B61">
        <v>1</v>
      </c>
    </row>
    <row r="62" spans="1:2" x14ac:dyDescent="0.2">
      <c r="A62" s="68" t="s">
        <v>1683</v>
      </c>
      <c r="B62">
        <v>1</v>
      </c>
    </row>
    <row r="63" spans="1:2" x14ac:dyDescent="0.2">
      <c r="A63" s="68" t="s">
        <v>1759</v>
      </c>
      <c r="B63">
        <v>1</v>
      </c>
    </row>
    <row r="64" spans="1:2" x14ac:dyDescent="0.2">
      <c r="A64" s="68" t="s">
        <v>1684</v>
      </c>
      <c r="B64">
        <v>1</v>
      </c>
    </row>
    <row r="65" spans="1:2" x14ac:dyDescent="0.2">
      <c r="A65" s="68" t="s">
        <v>1763</v>
      </c>
      <c r="B65">
        <v>1</v>
      </c>
    </row>
    <row r="66" spans="1:2" x14ac:dyDescent="0.2">
      <c r="A66" s="68" t="s">
        <v>1685</v>
      </c>
      <c r="B66">
        <v>1</v>
      </c>
    </row>
    <row r="67" spans="1:2" x14ac:dyDescent="0.2">
      <c r="A67" s="68" t="s">
        <v>1767</v>
      </c>
      <c r="B67">
        <v>1</v>
      </c>
    </row>
    <row r="68" spans="1:2" x14ac:dyDescent="0.2">
      <c r="A68" s="68" t="s">
        <v>1686</v>
      </c>
      <c r="B68">
        <v>1</v>
      </c>
    </row>
    <row r="69" spans="1:2" x14ac:dyDescent="0.2">
      <c r="A69" s="68" t="s">
        <v>1771</v>
      </c>
      <c r="B69">
        <v>1</v>
      </c>
    </row>
    <row r="70" spans="1:2" x14ac:dyDescent="0.2">
      <c r="A70" s="68" t="s">
        <v>1687</v>
      </c>
      <c r="B70">
        <v>1</v>
      </c>
    </row>
    <row r="71" spans="1:2" x14ac:dyDescent="0.2">
      <c r="A71" s="68" t="s">
        <v>1775</v>
      </c>
      <c r="B71">
        <v>1</v>
      </c>
    </row>
    <row r="72" spans="1:2" x14ac:dyDescent="0.2">
      <c r="A72" s="68" t="s">
        <v>1506</v>
      </c>
      <c r="B72">
        <v>1</v>
      </c>
    </row>
    <row r="73" spans="1:2" x14ac:dyDescent="0.2">
      <c r="A73" s="68" t="s">
        <v>1779</v>
      </c>
      <c r="B73">
        <v>1</v>
      </c>
    </row>
    <row r="74" spans="1:2" x14ac:dyDescent="0.2">
      <c r="A74" s="68" t="s">
        <v>1688</v>
      </c>
      <c r="B74">
        <v>1</v>
      </c>
    </row>
    <row r="75" spans="1:2" x14ac:dyDescent="0.2">
      <c r="A75" s="68" t="s">
        <v>1783</v>
      </c>
      <c r="B75">
        <v>1</v>
      </c>
    </row>
    <row r="76" spans="1:2" x14ac:dyDescent="0.2">
      <c r="A76" s="68" t="s">
        <v>1689</v>
      </c>
      <c r="B76">
        <v>1</v>
      </c>
    </row>
    <row r="77" spans="1:2" x14ac:dyDescent="0.2">
      <c r="A77" s="68" t="s">
        <v>1659</v>
      </c>
      <c r="B77">
        <v>1</v>
      </c>
    </row>
    <row r="78" spans="1:2" x14ac:dyDescent="0.2">
      <c r="A78" s="68" t="s">
        <v>1690</v>
      </c>
      <c r="B78">
        <v>1</v>
      </c>
    </row>
    <row r="79" spans="1:2" x14ac:dyDescent="0.2">
      <c r="A79" s="68" t="s">
        <v>1791</v>
      </c>
      <c r="B79">
        <v>1</v>
      </c>
    </row>
    <row r="80" spans="1:2" x14ac:dyDescent="0.2">
      <c r="A80" s="68" t="s">
        <v>1691</v>
      </c>
      <c r="B80">
        <v>1</v>
      </c>
    </row>
    <row r="81" spans="1:2" x14ac:dyDescent="0.2">
      <c r="A81" s="68" t="s">
        <v>1795</v>
      </c>
      <c r="B81">
        <v>1</v>
      </c>
    </row>
    <row r="82" spans="1:2" x14ac:dyDescent="0.2">
      <c r="A82" s="68" t="s">
        <v>1692</v>
      </c>
      <c r="B82">
        <v>1</v>
      </c>
    </row>
    <row r="83" spans="1:2" x14ac:dyDescent="0.2">
      <c r="A83" s="68" t="s">
        <v>1799</v>
      </c>
      <c r="B83">
        <v>1</v>
      </c>
    </row>
    <row r="84" spans="1:2" x14ac:dyDescent="0.2">
      <c r="A84" s="68" t="s">
        <v>1693</v>
      </c>
      <c r="B84">
        <v>1</v>
      </c>
    </row>
    <row r="85" spans="1:2" x14ac:dyDescent="0.2">
      <c r="A85" s="68" t="s">
        <v>1803</v>
      </c>
      <c r="B85">
        <v>1</v>
      </c>
    </row>
    <row r="86" spans="1:2" x14ac:dyDescent="0.2">
      <c r="A86" s="68" t="s">
        <v>1694</v>
      </c>
      <c r="B86">
        <v>1</v>
      </c>
    </row>
    <row r="87" spans="1:2" x14ac:dyDescent="0.2">
      <c r="A87" s="68" t="s">
        <v>1807</v>
      </c>
      <c r="B87">
        <v>1</v>
      </c>
    </row>
    <row r="88" spans="1:2" x14ac:dyDescent="0.2">
      <c r="A88" s="68" t="s">
        <v>1695</v>
      </c>
      <c r="B88">
        <v>1</v>
      </c>
    </row>
    <row r="89" spans="1:2" x14ac:dyDescent="0.2">
      <c r="A89" s="68" t="s">
        <v>1811</v>
      </c>
      <c r="B89">
        <v>1</v>
      </c>
    </row>
    <row r="90" spans="1:2" x14ac:dyDescent="0.2">
      <c r="A90" s="68" t="s">
        <v>1696</v>
      </c>
      <c r="B90">
        <v>1</v>
      </c>
    </row>
    <row r="91" spans="1:2" x14ac:dyDescent="0.2">
      <c r="A91" s="68" t="s">
        <v>1815</v>
      </c>
      <c r="B91">
        <v>1</v>
      </c>
    </row>
    <row r="92" spans="1:2" x14ac:dyDescent="0.2">
      <c r="A92" s="68" t="s">
        <v>1697</v>
      </c>
      <c r="B92">
        <v>1</v>
      </c>
    </row>
    <row r="93" spans="1:2" x14ac:dyDescent="0.2">
      <c r="A93" s="68" t="s">
        <v>1819</v>
      </c>
      <c r="B93">
        <v>1</v>
      </c>
    </row>
    <row r="94" spans="1:2" x14ac:dyDescent="0.2">
      <c r="A94" s="68" t="s">
        <v>1698</v>
      </c>
      <c r="B94">
        <v>1</v>
      </c>
    </row>
    <row r="95" spans="1:2" x14ac:dyDescent="0.2">
      <c r="A95" s="68" t="s">
        <v>1823</v>
      </c>
      <c r="B95">
        <v>1</v>
      </c>
    </row>
    <row r="96" spans="1:2" x14ac:dyDescent="0.2">
      <c r="A96" s="68" t="s">
        <v>1699</v>
      </c>
      <c r="B96">
        <v>1</v>
      </c>
    </row>
    <row r="97" spans="1:2" x14ac:dyDescent="0.2">
      <c r="A97" s="68" t="s">
        <v>1827</v>
      </c>
      <c r="B97">
        <v>1</v>
      </c>
    </row>
    <row r="98" spans="1:2" x14ac:dyDescent="0.2">
      <c r="A98" s="68" t="s">
        <v>1700</v>
      </c>
      <c r="B98">
        <v>1</v>
      </c>
    </row>
    <row r="99" spans="1:2" x14ac:dyDescent="0.2">
      <c r="A99" s="68" t="s">
        <v>1661</v>
      </c>
      <c r="B99">
        <v>1</v>
      </c>
    </row>
    <row r="100" spans="1:2" x14ac:dyDescent="0.2">
      <c r="A100" s="68" t="s">
        <v>1701</v>
      </c>
      <c r="B100">
        <v>1</v>
      </c>
    </row>
    <row r="101" spans="1:2" x14ac:dyDescent="0.2">
      <c r="A101" s="68" t="s">
        <v>1835</v>
      </c>
      <c r="B101">
        <v>1</v>
      </c>
    </row>
    <row r="102" spans="1:2" x14ac:dyDescent="0.2">
      <c r="A102" s="68" t="s">
        <v>1702</v>
      </c>
      <c r="B102">
        <v>1</v>
      </c>
    </row>
    <row r="103" spans="1:2" x14ac:dyDescent="0.2">
      <c r="A103" s="68" t="s">
        <v>1748</v>
      </c>
      <c r="B103">
        <v>1</v>
      </c>
    </row>
    <row r="104" spans="1:2" x14ac:dyDescent="0.2">
      <c r="A104" s="68" t="s">
        <v>1703</v>
      </c>
      <c r="B104">
        <v>1</v>
      </c>
    </row>
    <row r="105" spans="1:2" x14ac:dyDescent="0.2">
      <c r="A105" s="68" t="s">
        <v>1750</v>
      </c>
      <c r="B105">
        <v>1</v>
      </c>
    </row>
    <row r="106" spans="1:2" x14ac:dyDescent="0.2">
      <c r="A106" s="68" t="s">
        <v>1704</v>
      </c>
      <c r="B106">
        <v>1</v>
      </c>
    </row>
    <row r="107" spans="1:2" x14ac:dyDescent="0.2">
      <c r="A107" s="68" t="s">
        <v>1752</v>
      </c>
      <c r="B107">
        <v>1</v>
      </c>
    </row>
    <row r="108" spans="1:2" x14ac:dyDescent="0.2">
      <c r="A108" s="68" t="s">
        <v>1705</v>
      </c>
      <c r="B108">
        <v>1</v>
      </c>
    </row>
    <row r="109" spans="1:2" x14ac:dyDescent="0.2">
      <c r="A109" s="68" t="s">
        <v>1754</v>
      </c>
      <c r="B109">
        <v>1</v>
      </c>
    </row>
    <row r="110" spans="1:2" x14ac:dyDescent="0.2">
      <c r="A110" s="68" t="s">
        <v>1706</v>
      </c>
      <c r="B110">
        <v>1</v>
      </c>
    </row>
    <row r="111" spans="1:2" x14ac:dyDescent="0.2">
      <c r="A111" s="68" t="s">
        <v>1756</v>
      </c>
      <c r="B111">
        <v>1</v>
      </c>
    </row>
    <row r="112" spans="1:2" x14ac:dyDescent="0.2">
      <c r="A112" s="68" t="s">
        <v>1707</v>
      </c>
      <c r="B112">
        <v>1</v>
      </c>
    </row>
    <row r="113" spans="1:2" x14ac:dyDescent="0.2">
      <c r="A113" s="68" t="s">
        <v>1758</v>
      </c>
      <c r="B113">
        <v>1</v>
      </c>
    </row>
    <row r="114" spans="1:2" x14ac:dyDescent="0.2">
      <c r="A114" s="68" t="s">
        <v>1708</v>
      </c>
      <c r="B114">
        <v>1</v>
      </c>
    </row>
    <row r="115" spans="1:2" x14ac:dyDescent="0.2">
      <c r="A115" s="68" t="s">
        <v>1760</v>
      </c>
      <c r="B115">
        <v>1</v>
      </c>
    </row>
    <row r="116" spans="1:2" x14ac:dyDescent="0.2">
      <c r="A116" s="68" t="s">
        <v>1709</v>
      </c>
      <c r="B116">
        <v>1</v>
      </c>
    </row>
    <row r="117" spans="1:2" x14ac:dyDescent="0.2">
      <c r="A117" s="68" t="s">
        <v>1762</v>
      </c>
      <c r="B117">
        <v>1</v>
      </c>
    </row>
    <row r="118" spans="1:2" x14ac:dyDescent="0.2">
      <c r="A118" s="68" t="s">
        <v>1710</v>
      </c>
      <c r="B118">
        <v>1</v>
      </c>
    </row>
    <row r="119" spans="1:2" x14ac:dyDescent="0.2">
      <c r="A119" s="68" t="s">
        <v>1764</v>
      </c>
      <c r="B119">
        <v>1</v>
      </c>
    </row>
    <row r="120" spans="1:2" x14ac:dyDescent="0.2">
      <c r="A120" s="68" t="s">
        <v>1711</v>
      </c>
      <c r="B120">
        <v>1</v>
      </c>
    </row>
    <row r="121" spans="1:2" x14ac:dyDescent="0.2">
      <c r="A121" s="68" t="s">
        <v>1657</v>
      </c>
      <c r="B121">
        <v>1</v>
      </c>
    </row>
    <row r="122" spans="1:2" x14ac:dyDescent="0.2">
      <c r="A122" s="68" t="s">
        <v>1654</v>
      </c>
      <c r="B122">
        <v>1</v>
      </c>
    </row>
    <row r="123" spans="1:2" x14ac:dyDescent="0.2">
      <c r="A123" s="68" t="s">
        <v>1652</v>
      </c>
      <c r="B123">
        <v>1</v>
      </c>
    </row>
    <row r="124" spans="1:2" x14ac:dyDescent="0.2">
      <c r="A124" s="68" t="s">
        <v>1713</v>
      </c>
      <c r="B124">
        <v>1</v>
      </c>
    </row>
    <row r="125" spans="1:2" x14ac:dyDescent="0.2">
      <c r="A125" s="68" t="s">
        <v>1770</v>
      </c>
      <c r="B125">
        <v>1</v>
      </c>
    </row>
    <row r="126" spans="1:2" x14ac:dyDescent="0.2">
      <c r="A126" s="68" t="s">
        <v>1655</v>
      </c>
      <c r="B126">
        <v>1</v>
      </c>
    </row>
    <row r="127" spans="1:2" x14ac:dyDescent="0.2">
      <c r="A127" s="68" t="s">
        <v>1772</v>
      </c>
      <c r="B127">
        <v>1</v>
      </c>
    </row>
    <row r="128" spans="1:2" x14ac:dyDescent="0.2">
      <c r="A128" s="68" t="s">
        <v>1567</v>
      </c>
      <c r="B128">
        <v>1</v>
      </c>
    </row>
    <row r="129" spans="1:2" x14ac:dyDescent="0.2">
      <c r="A129" s="68" t="s">
        <v>1774</v>
      </c>
      <c r="B129">
        <v>1</v>
      </c>
    </row>
    <row r="130" spans="1:2" x14ac:dyDescent="0.2">
      <c r="A130" s="68" t="s">
        <v>1715</v>
      </c>
      <c r="B130">
        <v>1</v>
      </c>
    </row>
    <row r="131" spans="1:2" x14ac:dyDescent="0.2">
      <c r="A131" s="68" t="s">
        <v>1776</v>
      </c>
      <c r="B131">
        <v>1</v>
      </c>
    </row>
    <row r="132" spans="1:2" x14ac:dyDescent="0.2">
      <c r="A132" s="68" t="s">
        <v>1716</v>
      </c>
      <c r="B132">
        <v>1</v>
      </c>
    </row>
    <row r="133" spans="1:2" x14ac:dyDescent="0.2">
      <c r="A133" s="68" t="s">
        <v>1778</v>
      </c>
      <c r="B133">
        <v>1</v>
      </c>
    </row>
    <row r="134" spans="1:2" x14ac:dyDescent="0.2">
      <c r="A134" s="68" t="s">
        <v>1717</v>
      </c>
      <c r="B134">
        <v>1</v>
      </c>
    </row>
    <row r="135" spans="1:2" x14ac:dyDescent="0.2">
      <c r="A135" s="68" t="s">
        <v>1780</v>
      </c>
      <c r="B135">
        <v>1</v>
      </c>
    </row>
    <row r="136" spans="1:2" x14ac:dyDescent="0.2">
      <c r="A136" s="68" t="s">
        <v>1718</v>
      </c>
      <c r="B136">
        <v>1</v>
      </c>
    </row>
    <row r="137" spans="1:2" x14ac:dyDescent="0.2">
      <c r="A137" s="68" t="s">
        <v>1782</v>
      </c>
      <c r="B137">
        <v>1</v>
      </c>
    </row>
    <row r="138" spans="1:2" x14ac:dyDescent="0.2">
      <c r="A138" s="68" t="s">
        <v>1719</v>
      </c>
      <c r="B138">
        <v>1</v>
      </c>
    </row>
    <row r="139" spans="1:2" x14ac:dyDescent="0.2">
      <c r="A139" s="68" t="s">
        <v>1784</v>
      </c>
      <c r="B139">
        <v>1</v>
      </c>
    </row>
    <row r="140" spans="1:2" x14ac:dyDescent="0.2">
      <c r="A140" s="68" t="s">
        <v>1720</v>
      </c>
      <c r="B140">
        <v>1</v>
      </c>
    </row>
    <row r="141" spans="1:2" x14ac:dyDescent="0.2">
      <c r="A141" s="68" t="s">
        <v>1786</v>
      </c>
      <c r="B141">
        <v>1</v>
      </c>
    </row>
    <row r="142" spans="1:2" x14ac:dyDescent="0.2">
      <c r="A142" s="68" t="s">
        <v>1721</v>
      </c>
      <c r="B142">
        <v>1</v>
      </c>
    </row>
    <row r="143" spans="1:2" x14ac:dyDescent="0.2">
      <c r="A143" s="68" t="s">
        <v>1788</v>
      </c>
      <c r="B143">
        <v>1</v>
      </c>
    </row>
    <row r="144" spans="1:2" x14ac:dyDescent="0.2">
      <c r="A144" s="68" t="s">
        <v>1722</v>
      </c>
      <c r="B144">
        <v>1</v>
      </c>
    </row>
    <row r="145" spans="1:2" x14ac:dyDescent="0.2">
      <c r="A145" s="68" t="s">
        <v>1790</v>
      </c>
      <c r="B145">
        <v>1</v>
      </c>
    </row>
    <row r="146" spans="1:2" x14ac:dyDescent="0.2">
      <c r="A146" s="68" t="s">
        <v>1723</v>
      </c>
      <c r="B146">
        <v>1</v>
      </c>
    </row>
    <row r="147" spans="1:2" x14ac:dyDescent="0.2">
      <c r="A147" s="68" t="s">
        <v>1792</v>
      </c>
      <c r="B147">
        <v>1</v>
      </c>
    </row>
    <row r="148" spans="1:2" x14ac:dyDescent="0.2">
      <c r="A148" s="68" t="s">
        <v>1724</v>
      </c>
      <c r="B148">
        <v>1</v>
      </c>
    </row>
    <row r="149" spans="1:2" x14ac:dyDescent="0.2">
      <c r="A149" s="68" t="s">
        <v>1794</v>
      </c>
      <c r="B149">
        <v>1</v>
      </c>
    </row>
    <row r="150" spans="1:2" x14ac:dyDescent="0.2">
      <c r="A150" s="68" t="s">
        <v>1725</v>
      </c>
      <c r="B150">
        <v>1</v>
      </c>
    </row>
    <row r="151" spans="1:2" x14ac:dyDescent="0.2">
      <c r="A151" s="68" t="s">
        <v>1796</v>
      </c>
      <c r="B151">
        <v>1</v>
      </c>
    </row>
    <row r="152" spans="1:2" x14ac:dyDescent="0.2">
      <c r="A152" s="68" t="s">
        <v>1726</v>
      </c>
      <c r="B152">
        <v>1</v>
      </c>
    </row>
    <row r="153" spans="1:2" x14ac:dyDescent="0.2">
      <c r="A153" s="68" t="s">
        <v>1798</v>
      </c>
      <c r="B153">
        <v>1</v>
      </c>
    </row>
    <row r="154" spans="1:2" x14ac:dyDescent="0.2">
      <c r="A154" s="68" t="s">
        <v>1727</v>
      </c>
      <c r="B154">
        <v>1</v>
      </c>
    </row>
    <row r="155" spans="1:2" x14ac:dyDescent="0.2">
      <c r="A155" s="68" t="s">
        <v>1800</v>
      </c>
      <c r="B155">
        <v>1</v>
      </c>
    </row>
    <row r="156" spans="1:2" x14ac:dyDescent="0.2">
      <c r="A156" s="68" t="s">
        <v>1728</v>
      </c>
      <c r="B156">
        <v>1</v>
      </c>
    </row>
    <row r="157" spans="1:2" x14ac:dyDescent="0.2">
      <c r="A157" s="68" t="s">
        <v>1802</v>
      </c>
      <c r="B157">
        <v>1</v>
      </c>
    </row>
    <row r="158" spans="1:2" x14ac:dyDescent="0.2">
      <c r="A158" s="68" t="s">
        <v>1729</v>
      </c>
      <c r="B158">
        <v>1</v>
      </c>
    </row>
    <row r="159" spans="1:2" x14ac:dyDescent="0.2">
      <c r="A159" s="68" t="s">
        <v>1804</v>
      </c>
      <c r="B159">
        <v>1</v>
      </c>
    </row>
    <row r="160" spans="1:2" x14ac:dyDescent="0.2">
      <c r="A160" s="68" t="s">
        <v>1730</v>
      </c>
      <c r="B160">
        <v>1</v>
      </c>
    </row>
    <row r="161" spans="1:2" x14ac:dyDescent="0.2">
      <c r="A161" s="68" t="s">
        <v>1806</v>
      </c>
      <c r="B161">
        <v>1</v>
      </c>
    </row>
    <row r="162" spans="1:2" x14ac:dyDescent="0.2">
      <c r="A162" s="68" t="s">
        <v>1731</v>
      </c>
      <c r="B162">
        <v>1</v>
      </c>
    </row>
    <row r="163" spans="1:2" x14ac:dyDescent="0.2">
      <c r="A163" s="68" t="s">
        <v>1808</v>
      </c>
      <c r="B163">
        <v>1</v>
      </c>
    </row>
    <row r="164" spans="1:2" x14ac:dyDescent="0.2">
      <c r="A164" s="68" t="s">
        <v>1732</v>
      </c>
      <c r="B164">
        <v>1</v>
      </c>
    </row>
    <row r="165" spans="1:2" x14ac:dyDescent="0.2">
      <c r="A165" s="68" t="s">
        <v>1810</v>
      </c>
      <c r="B165">
        <v>1</v>
      </c>
    </row>
    <row r="166" spans="1:2" x14ac:dyDescent="0.2">
      <c r="A166" s="68" t="s">
        <v>1733</v>
      </c>
      <c r="B166">
        <v>1</v>
      </c>
    </row>
    <row r="167" spans="1:2" x14ac:dyDescent="0.2">
      <c r="A167" s="68" t="s">
        <v>1812</v>
      </c>
      <c r="B167">
        <v>1</v>
      </c>
    </row>
    <row r="168" spans="1:2" x14ac:dyDescent="0.2">
      <c r="A168" s="68" t="s">
        <v>1734</v>
      </c>
      <c r="B168">
        <v>1</v>
      </c>
    </row>
    <row r="169" spans="1:2" x14ac:dyDescent="0.2">
      <c r="A169" s="68" t="s">
        <v>1814</v>
      </c>
      <c r="B169">
        <v>1</v>
      </c>
    </row>
    <row r="170" spans="1:2" x14ac:dyDescent="0.2">
      <c r="A170" s="68" t="s">
        <v>1735</v>
      </c>
      <c r="B170">
        <v>1</v>
      </c>
    </row>
    <row r="171" spans="1:2" x14ac:dyDescent="0.2">
      <c r="A171" s="68" t="s">
        <v>1816</v>
      </c>
      <c r="B171">
        <v>1</v>
      </c>
    </row>
    <row r="172" spans="1:2" x14ac:dyDescent="0.2">
      <c r="A172" s="68" t="s">
        <v>1736</v>
      </c>
      <c r="B172">
        <v>1</v>
      </c>
    </row>
    <row r="173" spans="1:2" x14ac:dyDescent="0.2">
      <c r="A173" s="68" t="s">
        <v>1818</v>
      </c>
      <c r="B173">
        <v>1</v>
      </c>
    </row>
    <row r="174" spans="1:2" x14ac:dyDescent="0.2">
      <c r="A174" s="68" t="s">
        <v>1737</v>
      </c>
      <c r="B174">
        <v>1</v>
      </c>
    </row>
    <row r="175" spans="1:2" x14ac:dyDescent="0.2">
      <c r="A175" s="68" t="s">
        <v>1820</v>
      </c>
      <c r="B175">
        <v>1</v>
      </c>
    </row>
    <row r="176" spans="1:2" x14ac:dyDescent="0.2">
      <c r="A176" s="68" t="s">
        <v>1656</v>
      </c>
      <c r="B176">
        <v>1</v>
      </c>
    </row>
    <row r="177" spans="1:2" x14ac:dyDescent="0.2">
      <c r="A177" s="68" t="s">
        <v>1822</v>
      </c>
      <c r="B177">
        <v>1</v>
      </c>
    </row>
    <row r="178" spans="1:2" x14ac:dyDescent="0.2">
      <c r="A178" s="68" t="s">
        <v>1739</v>
      </c>
      <c r="B178">
        <v>1</v>
      </c>
    </row>
    <row r="179" spans="1:2" x14ac:dyDescent="0.2">
      <c r="A179" s="68" t="s">
        <v>1824</v>
      </c>
      <c r="B179">
        <v>1</v>
      </c>
    </row>
    <row r="180" spans="1:2" x14ac:dyDescent="0.2">
      <c r="A180" s="68" t="s">
        <v>1740</v>
      </c>
      <c r="B180">
        <v>1</v>
      </c>
    </row>
    <row r="181" spans="1:2" x14ac:dyDescent="0.2">
      <c r="A181" s="68" t="s">
        <v>1826</v>
      </c>
      <c r="B181">
        <v>1</v>
      </c>
    </row>
    <row r="182" spans="1:2" x14ac:dyDescent="0.2">
      <c r="A182" s="68" t="s">
        <v>1741</v>
      </c>
      <c r="B182">
        <v>1</v>
      </c>
    </row>
    <row r="183" spans="1:2" x14ac:dyDescent="0.2">
      <c r="A183" s="68" t="s">
        <v>1828</v>
      </c>
      <c r="B183">
        <v>1</v>
      </c>
    </row>
    <row r="184" spans="1:2" x14ac:dyDescent="0.2">
      <c r="A184" s="68" t="s">
        <v>1838</v>
      </c>
      <c r="B184">
        <v>1</v>
      </c>
    </row>
    <row r="185" spans="1:2" x14ac:dyDescent="0.2">
      <c r="A185" s="68" t="s">
        <v>1830</v>
      </c>
      <c r="B185">
        <v>1</v>
      </c>
    </row>
    <row r="186" spans="1:2" x14ac:dyDescent="0.2">
      <c r="A186" s="68" t="s">
        <v>1651</v>
      </c>
      <c r="B186">
        <v>1</v>
      </c>
    </row>
    <row r="187" spans="1:2" x14ac:dyDescent="0.2">
      <c r="A187" s="68" t="s">
        <v>1832</v>
      </c>
      <c r="B187">
        <v>1</v>
      </c>
    </row>
    <row r="188" spans="1:2" x14ac:dyDescent="0.2">
      <c r="A188" s="68" t="s">
        <v>1744</v>
      </c>
      <c r="B188">
        <v>1</v>
      </c>
    </row>
    <row r="189" spans="1:2" x14ac:dyDescent="0.2">
      <c r="A189" s="68" t="s">
        <v>1834</v>
      </c>
      <c r="B189">
        <v>1</v>
      </c>
    </row>
    <row r="190" spans="1:2" x14ac:dyDescent="0.2">
      <c r="A190" s="68" t="s">
        <v>1745</v>
      </c>
      <c r="B190">
        <v>1</v>
      </c>
    </row>
    <row r="191" spans="1:2" x14ac:dyDescent="0.2">
      <c r="A191" s="68" t="s">
        <v>1836</v>
      </c>
      <c r="B191">
        <v>1</v>
      </c>
    </row>
    <row r="192" spans="1:2" x14ac:dyDescent="0.2">
      <c r="A192" s="68" t="s">
        <v>1746</v>
      </c>
      <c r="B192">
        <v>1</v>
      </c>
    </row>
    <row r="193" spans="1:2" x14ac:dyDescent="0.2">
      <c r="A193" s="68" t="s">
        <v>1662</v>
      </c>
      <c r="B193">
        <v>1</v>
      </c>
    </row>
    <row r="194" spans="1:2" x14ac:dyDescent="0.2">
      <c r="A194" s="68" t="s">
        <v>1747</v>
      </c>
      <c r="B194">
        <v>1</v>
      </c>
    </row>
    <row r="195" spans="1:2" x14ac:dyDescent="0.2">
      <c r="A195" s="68" t="s">
        <v>1742</v>
      </c>
      <c r="B195">
        <v>1</v>
      </c>
    </row>
    <row r="196" spans="1:2" x14ac:dyDescent="0.2">
      <c r="A196" s="68" t="s">
        <v>1743</v>
      </c>
      <c r="B196">
        <v>1</v>
      </c>
    </row>
    <row r="197" spans="1:2" x14ac:dyDescent="0.2">
      <c r="A197" s="68" t="s">
        <v>1432</v>
      </c>
      <c r="B197">
        <v>205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32596-CD19-1C43-AD11-00B0F0547C8A}">
  <dimension ref="A3:B171"/>
  <sheetViews>
    <sheetView tabSelected="1" workbookViewId="0">
      <selection activeCell="L15" sqref="L15"/>
    </sheetView>
  </sheetViews>
  <sheetFormatPr baseColWidth="10" defaultRowHeight="15" x14ac:dyDescent="0.2"/>
  <cols>
    <col min="1" max="1" width="35.33203125" bestFit="1" customWidth="1"/>
    <col min="2" max="2" width="18" bestFit="1" customWidth="1"/>
  </cols>
  <sheetData>
    <row r="3" spans="1:2" x14ac:dyDescent="0.2">
      <c r="A3" s="69" t="s">
        <v>1431</v>
      </c>
      <c r="B3" t="s">
        <v>1433</v>
      </c>
    </row>
    <row r="4" spans="1:2" x14ac:dyDescent="0.2">
      <c r="A4" s="68" t="s">
        <v>1438</v>
      </c>
      <c r="B4">
        <v>11</v>
      </c>
    </row>
    <row r="5" spans="1:2" x14ac:dyDescent="0.2">
      <c r="A5" s="82" t="s">
        <v>529</v>
      </c>
      <c r="B5">
        <v>1</v>
      </c>
    </row>
    <row r="6" spans="1:2" x14ac:dyDescent="0.2">
      <c r="A6" s="82" t="s">
        <v>1400</v>
      </c>
      <c r="B6">
        <v>2</v>
      </c>
    </row>
    <row r="7" spans="1:2" x14ac:dyDescent="0.2">
      <c r="A7" s="82" t="s">
        <v>180</v>
      </c>
      <c r="B7">
        <v>1</v>
      </c>
    </row>
    <row r="8" spans="1:2" x14ac:dyDescent="0.2">
      <c r="A8" s="82" t="s">
        <v>27</v>
      </c>
      <c r="B8">
        <v>2</v>
      </c>
    </row>
    <row r="9" spans="1:2" x14ac:dyDescent="0.2">
      <c r="A9" s="82" t="s">
        <v>261</v>
      </c>
      <c r="B9">
        <v>1</v>
      </c>
    </row>
    <row r="10" spans="1:2" x14ac:dyDescent="0.2">
      <c r="A10" s="82" t="s">
        <v>403</v>
      </c>
      <c r="B10">
        <v>1</v>
      </c>
    </row>
    <row r="11" spans="1:2" x14ac:dyDescent="0.2">
      <c r="A11" s="82" t="s">
        <v>232</v>
      </c>
      <c r="B11">
        <v>1</v>
      </c>
    </row>
    <row r="12" spans="1:2" x14ac:dyDescent="0.2">
      <c r="A12" s="82" t="s">
        <v>53</v>
      </c>
      <c r="B12">
        <v>2</v>
      </c>
    </row>
    <row r="13" spans="1:2" x14ac:dyDescent="0.2">
      <c r="A13" s="68" t="s">
        <v>1439</v>
      </c>
      <c r="B13">
        <v>1</v>
      </c>
    </row>
    <row r="14" spans="1:2" x14ac:dyDescent="0.2">
      <c r="A14" s="82" t="s">
        <v>39</v>
      </c>
      <c r="B14">
        <v>1</v>
      </c>
    </row>
    <row r="15" spans="1:2" x14ac:dyDescent="0.2">
      <c r="A15" s="68" t="s">
        <v>1440</v>
      </c>
      <c r="B15">
        <v>1</v>
      </c>
    </row>
    <row r="16" spans="1:2" x14ac:dyDescent="0.2">
      <c r="A16" s="82" t="s">
        <v>27</v>
      </c>
      <c r="B16">
        <v>1</v>
      </c>
    </row>
    <row r="17" spans="1:2" x14ac:dyDescent="0.2">
      <c r="A17" s="68" t="s">
        <v>1441</v>
      </c>
      <c r="B17">
        <v>9</v>
      </c>
    </row>
    <row r="18" spans="1:2" x14ac:dyDescent="0.2">
      <c r="A18" s="82" t="s">
        <v>89</v>
      </c>
      <c r="B18">
        <v>1</v>
      </c>
    </row>
    <row r="19" spans="1:2" x14ac:dyDescent="0.2">
      <c r="A19" s="82" t="s">
        <v>39</v>
      </c>
      <c r="B19">
        <v>2</v>
      </c>
    </row>
    <row r="20" spans="1:2" x14ac:dyDescent="0.2">
      <c r="A20" s="82" t="s">
        <v>180</v>
      </c>
      <c r="B20">
        <v>1</v>
      </c>
    </row>
    <row r="21" spans="1:2" x14ac:dyDescent="0.2">
      <c r="A21" s="82" t="s">
        <v>58</v>
      </c>
      <c r="B21">
        <v>1</v>
      </c>
    </row>
    <row r="22" spans="1:2" x14ac:dyDescent="0.2">
      <c r="A22" s="82" t="s">
        <v>403</v>
      </c>
      <c r="B22">
        <v>2</v>
      </c>
    </row>
    <row r="23" spans="1:2" x14ac:dyDescent="0.2">
      <c r="A23" s="82" t="s">
        <v>53</v>
      </c>
      <c r="B23">
        <v>1</v>
      </c>
    </row>
    <row r="24" spans="1:2" x14ac:dyDescent="0.2">
      <c r="A24" s="82" t="s">
        <v>778</v>
      </c>
      <c r="B24">
        <v>1</v>
      </c>
    </row>
    <row r="25" spans="1:2" x14ac:dyDescent="0.2">
      <c r="A25" s="68" t="s">
        <v>1442</v>
      </c>
      <c r="B25">
        <v>12</v>
      </c>
    </row>
    <row r="26" spans="1:2" x14ac:dyDescent="0.2">
      <c r="A26" s="82" t="s">
        <v>136</v>
      </c>
      <c r="B26">
        <v>1</v>
      </c>
    </row>
    <row r="27" spans="1:2" x14ac:dyDescent="0.2">
      <c r="A27" s="82" t="s">
        <v>89</v>
      </c>
      <c r="B27">
        <v>1</v>
      </c>
    </row>
    <row r="28" spans="1:2" x14ac:dyDescent="0.2">
      <c r="A28" s="82" t="s">
        <v>466</v>
      </c>
      <c r="B28">
        <v>1</v>
      </c>
    </row>
    <row r="29" spans="1:2" x14ac:dyDescent="0.2">
      <c r="A29" s="82" t="s">
        <v>529</v>
      </c>
      <c r="B29">
        <v>1</v>
      </c>
    </row>
    <row r="30" spans="1:2" x14ac:dyDescent="0.2">
      <c r="A30" s="82" t="s">
        <v>39</v>
      </c>
      <c r="B30">
        <v>2</v>
      </c>
    </row>
    <row r="31" spans="1:2" x14ac:dyDescent="0.2">
      <c r="A31" s="82" t="s">
        <v>71</v>
      </c>
      <c r="B31">
        <v>1</v>
      </c>
    </row>
    <row r="32" spans="1:2" x14ac:dyDescent="0.2">
      <c r="A32" s="82" t="s">
        <v>84</v>
      </c>
      <c r="B32">
        <v>1</v>
      </c>
    </row>
    <row r="33" spans="1:2" x14ac:dyDescent="0.2">
      <c r="A33" s="82" t="s">
        <v>24</v>
      </c>
      <c r="B33">
        <v>2</v>
      </c>
    </row>
    <row r="34" spans="1:2" x14ac:dyDescent="0.2">
      <c r="A34" s="82" t="s">
        <v>58</v>
      </c>
      <c r="B34">
        <v>1</v>
      </c>
    </row>
    <row r="35" spans="1:2" x14ac:dyDescent="0.2">
      <c r="A35" s="82" t="s">
        <v>1151</v>
      </c>
      <c r="B35">
        <v>1</v>
      </c>
    </row>
    <row r="36" spans="1:2" x14ac:dyDescent="0.2">
      <c r="A36" s="68" t="s">
        <v>1443</v>
      </c>
      <c r="B36">
        <v>3</v>
      </c>
    </row>
    <row r="37" spans="1:2" x14ac:dyDescent="0.2">
      <c r="A37" s="82" t="s">
        <v>39</v>
      </c>
      <c r="B37">
        <v>1</v>
      </c>
    </row>
    <row r="38" spans="1:2" x14ac:dyDescent="0.2">
      <c r="A38" s="82" t="s">
        <v>38</v>
      </c>
      <c r="B38">
        <v>1</v>
      </c>
    </row>
    <row r="39" spans="1:2" x14ac:dyDescent="0.2">
      <c r="A39" s="82" t="s">
        <v>1079</v>
      </c>
      <c r="B39">
        <v>1</v>
      </c>
    </row>
    <row r="40" spans="1:2" x14ac:dyDescent="0.2">
      <c r="A40" s="68" t="s">
        <v>1444</v>
      </c>
      <c r="B40">
        <v>9</v>
      </c>
    </row>
    <row r="41" spans="1:2" x14ac:dyDescent="0.2">
      <c r="A41" s="82" t="s">
        <v>39</v>
      </c>
      <c r="B41">
        <v>1</v>
      </c>
    </row>
    <row r="42" spans="1:2" x14ac:dyDescent="0.2">
      <c r="A42" s="82" t="s">
        <v>27</v>
      </c>
      <c r="B42">
        <v>1</v>
      </c>
    </row>
    <row r="43" spans="1:2" x14ac:dyDescent="0.2">
      <c r="A43" s="82" t="s">
        <v>344</v>
      </c>
      <c r="B43">
        <v>1</v>
      </c>
    </row>
    <row r="44" spans="1:2" x14ac:dyDescent="0.2">
      <c r="A44" s="82" t="s">
        <v>345</v>
      </c>
      <c r="B44">
        <v>1</v>
      </c>
    </row>
    <row r="45" spans="1:2" x14ac:dyDescent="0.2">
      <c r="A45" s="82" t="s">
        <v>38</v>
      </c>
      <c r="B45">
        <v>1</v>
      </c>
    </row>
    <row r="46" spans="1:2" x14ac:dyDescent="0.2">
      <c r="A46" s="82" t="s">
        <v>518</v>
      </c>
      <c r="B46">
        <v>1</v>
      </c>
    </row>
    <row r="47" spans="1:2" x14ac:dyDescent="0.2">
      <c r="A47" s="82" t="s">
        <v>242</v>
      </c>
      <c r="B47">
        <v>1</v>
      </c>
    </row>
    <row r="48" spans="1:2" x14ac:dyDescent="0.2">
      <c r="A48" s="82" t="s">
        <v>261</v>
      </c>
      <c r="B48">
        <v>1</v>
      </c>
    </row>
    <row r="49" spans="1:2" x14ac:dyDescent="0.2">
      <c r="A49" s="82" t="s">
        <v>715</v>
      </c>
      <c r="B49">
        <v>1</v>
      </c>
    </row>
    <row r="50" spans="1:2" x14ac:dyDescent="0.2">
      <c r="A50" s="68" t="s">
        <v>1445</v>
      </c>
      <c r="B50">
        <v>1</v>
      </c>
    </row>
    <row r="51" spans="1:2" x14ac:dyDescent="0.2">
      <c r="A51" s="82" t="s">
        <v>27</v>
      </c>
      <c r="B51">
        <v>1</v>
      </c>
    </row>
    <row r="52" spans="1:2" x14ac:dyDescent="0.2">
      <c r="A52" s="68" t="s">
        <v>1446</v>
      </c>
      <c r="B52">
        <v>6</v>
      </c>
    </row>
    <row r="53" spans="1:2" x14ac:dyDescent="0.2">
      <c r="A53" s="82" t="s">
        <v>27</v>
      </c>
      <c r="B53">
        <v>2</v>
      </c>
    </row>
    <row r="54" spans="1:2" x14ac:dyDescent="0.2">
      <c r="A54" s="82" t="s">
        <v>24</v>
      </c>
      <c r="B54">
        <v>1</v>
      </c>
    </row>
    <row r="55" spans="1:2" x14ac:dyDescent="0.2">
      <c r="A55" s="82" t="s">
        <v>261</v>
      </c>
      <c r="B55">
        <v>1</v>
      </c>
    </row>
    <row r="56" spans="1:2" x14ac:dyDescent="0.2">
      <c r="A56" s="82" t="s">
        <v>53</v>
      </c>
      <c r="B56">
        <v>1</v>
      </c>
    </row>
    <row r="57" spans="1:2" x14ac:dyDescent="0.2">
      <c r="A57" s="82" t="s">
        <v>196</v>
      </c>
      <c r="B57">
        <v>1</v>
      </c>
    </row>
    <row r="58" spans="1:2" x14ac:dyDescent="0.2">
      <c r="A58" s="68" t="s">
        <v>1447</v>
      </c>
      <c r="B58">
        <v>4</v>
      </c>
    </row>
    <row r="59" spans="1:2" x14ac:dyDescent="0.2">
      <c r="A59" s="82" t="s">
        <v>39</v>
      </c>
      <c r="B59">
        <v>1</v>
      </c>
    </row>
    <row r="60" spans="1:2" x14ac:dyDescent="0.2">
      <c r="A60" s="82" t="s">
        <v>447</v>
      </c>
      <c r="B60">
        <v>1</v>
      </c>
    </row>
    <row r="61" spans="1:2" x14ac:dyDescent="0.2">
      <c r="A61" s="82" t="s">
        <v>1055</v>
      </c>
      <c r="B61">
        <v>1</v>
      </c>
    </row>
    <row r="62" spans="1:2" x14ac:dyDescent="0.2">
      <c r="A62" s="82" t="s">
        <v>1320</v>
      </c>
      <c r="B62">
        <v>1</v>
      </c>
    </row>
    <row r="63" spans="1:2" x14ac:dyDescent="0.2">
      <c r="A63" s="68" t="s">
        <v>1448</v>
      </c>
      <c r="B63">
        <v>54</v>
      </c>
    </row>
    <row r="64" spans="1:2" x14ac:dyDescent="0.2">
      <c r="A64" s="82" t="s">
        <v>136</v>
      </c>
      <c r="B64">
        <v>1</v>
      </c>
    </row>
    <row r="65" spans="1:2" x14ac:dyDescent="0.2">
      <c r="A65" s="82" t="s">
        <v>466</v>
      </c>
      <c r="B65">
        <v>1</v>
      </c>
    </row>
    <row r="66" spans="1:2" x14ac:dyDescent="0.2">
      <c r="A66" s="82" t="s">
        <v>529</v>
      </c>
      <c r="B66">
        <v>3</v>
      </c>
    </row>
    <row r="67" spans="1:2" x14ac:dyDescent="0.2">
      <c r="A67" s="82" t="s">
        <v>39</v>
      </c>
      <c r="B67">
        <v>2</v>
      </c>
    </row>
    <row r="68" spans="1:2" x14ac:dyDescent="0.2">
      <c r="A68" s="82" t="s">
        <v>749</v>
      </c>
      <c r="B68">
        <v>1</v>
      </c>
    </row>
    <row r="69" spans="1:2" x14ac:dyDescent="0.2">
      <c r="A69" s="82" t="s">
        <v>264</v>
      </c>
      <c r="B69">
        <v>2</v>
      </c>
    </row>
    <row r="70" spans="1:2" x14ac:dyDescent="0.2">
      <c r="A70" s="82" t="s">
        <v>1323</v>
      </c>
      <c r="B70">
        <v>1</v>
      </c>
    </row>
    <row r="71" spans="1:2" x14ac:dyDescent="0.2">
      <c r="A71" s="82" t="s">
        <v>180</v>
      </c>
      <c r="B71">
        <v>1</v>
      </c>
    </row>
    <row r="72" spans="1:2" x14ac:dyDescent="0.2">
      <c r="A72" s="82" t="s">
        <v>447</v>
      </c>
      <c r="B72">
        <v>1</v>
      </c>
    </row>
    <row r="73" spans="1:2" x14ac:dyDescent="0.2">
      <c r="A73" s="82" t="s">
        <v>27</v>
      </c>
      <c r="B73">
        <v>12</v>
      </c>
    </row>
    <row r="74" spans="1:2" x14ac:dyDescent="0.2">
      <c r="A74" s="82" t="s">
        <v>344</v>
      </c>
      <c r="B74">
        <v>1</v>
      </c>
    </row>
    <row r="75" spans="1:2" x14ac:dyDescent="0.2">
      <c r="A75" s="82" t="s">
        <v>1311</v>
      </c>
      <c r="B75">
        <v>1</v>
      </c>
    </row>
    <row r="76" spans="1:2" x14ac:dyDescent="0.2">
      <c r="A76" s="82" t="s">
        <v>345</v>
      </c>
      <c r="B76">
        <v>1</v>
      </c>
    </row>
    <row r="77" spans="1:2" x14ac:dyDescent="0.2">
      <c r="A77" s="82" t="s">
        <v>1312</v>
      </c>
      <c r="B77">
        <v>1</v>
      </c>
    </row>
    <row r="78" spans="1:2" x14ac:dyDescent="0.2">
      <c r="A78" s="82" t="s">
        <v>38</v>
      </c>
      <c r="B78">
        <v>3</v>
      </c>
    </row>
    <row r="79" spans="1:2" x14ac:dyDescent="0.2">
      <c r="A79" s="82" t="s">
        <v>24</v>
      </c>
      <c r="B79">
        <v>1</v>
      </c>
    </row>
    <row r="80" spans="1:2" x14ac:dyDescent="0.2">
      <c r="A80" s="82" t="s">
        <v>261</v>
      </c>
      <c r="B80">
        <v>1</v>
      </c>
    </row>
    <row r="81" spans="1:2" x14ac:dyDescent="0.2">
      <c r="A81" s="82" t="s">
        <v>403</v>
      </c>
      <c r="B81">
        <v>2</v>
      </c>
    </row>
    <row r="82" spans="1:2" x14ac:dyDescent="0.2">
      <c r="A82" s="82" t="s">
        <v>232</v>
      </c>
      <c r="B82">
        <v>5</v>
      </c>
    </row>
    <row r="83" spans="1:2" x14ac:dyDescent="0.2">
      <c r="A83" s="82" t="s">
        <v>1260</v>
      </c>
      <c r="B83">
        <v>1</v>
      </c>
    </row>
    <row r="84" spans="1:2" x14ac:dyDescent="0.2">
      <c r="A84" s="82" t="s">
        <v>53</v>
      </c>
      <c r="B84">
        <v>3</v>
      </c>
    </row>
    <row r="85" spans="1:2" x14ac:dyDescent="0.2">
      <c r="A85" s="82" t="s">
        <v>715</v>
      </c>
      <c r="B85">
        <v>2</v>
      </c>
    </row>
    <row r="86" spans="1:2" x14ac:dyDescent="0.2">
      <c r="A86" s="82" t="s">
        <v>778</v>
      </c>
      <c r="B86">
        <v>4</v>
      </c>
    </row>
    <row r="87" spans="1:2" x14ac:dyDescent="0.2">
      <c r="A87" s="82" t="s">
        <v>996</v>
      </c>
      <c r="B87">
        <v>1</v>
      </c>
    </row>
    <row r="88" spans="1:2" x14ac:dyDescent="0.2">
      <c r="A88" s="82" t="s">
        <v>424</v>
      </c>
      <c r="B88">
        <v>1</v>
      </c>
    </row>
    <row r="89" spans="1:2" x14ac:dyDescent="0.2">
      <c r="A89" s="82" t="s">
        <v>750</v>
      </c>
      <c r="B89">
        <v>1</v>
      </c>
    </row>
    <row r="90" spans="1:2" x14ac:dyDescent="0.2">
      <c r="A90" s="68" t="s">
        <v>1449</v>
      </c>
      <c r="B90">
        <v>7</v>
      </c>
    </row>
    <row r="91" spans="1:2" x14ac:dyDescent="0.2">
      <c r="A91" s="82" t="s">
        <v>1387</v>
      </c>
      <c r="B91">
        <v>1</v>
      </c>
    </row>
    <row r="92" spans="1:2" x14ac:dyDescent="0.2">
      <c r="A92" s="82" t="s">
        <v>114</v>
      </c>
      <c r="B92">
        <v>2</v>
      </c>
    </row>
    <row r="93" spans="1:2" x14ac:dyDescent="0.2">
      <c r="A93" s="82" t="s">
        <v>567</v>
      </c>
      <c r="B93">
        <v>1</v>
      </c>
    </row>
    <row r="94" spans="1:2" x14ac:dyDescent="0.2">
      <c r="A94" s="82" t="s">
        <v>27</v>
      </c>
      <c r="B94">
        <v>1</v>
      </c>
    </row>
    <row r="95" spans="1:2" x14ac:dyDescent="0.2">
      <c r="A95" s="82" t="s">
        <v>1079</v>
      </c>
      <c r="B95">
        <v>1</v>
      </c>
    </row>
    <row r="96" spans="1:2" x14ac:dyDescent="0.2">
      <c r="A96" s="82" t="s">
        <v>261</v>
      </c>
      <c r="B96">
        <v>1</v>
      </c>
    </row>
    <row r="97" spans="1:2" x14ac:dyDescent="0.2">
      <c r="A97" s="68" t="s">
        <v>1450</v>
      </c>
      <c r="B97">
        <v>3</v>
      </c>
    </row>
    <row r="98" spans="1:2" x14ac:dyDescent="0.2">
      <c r="A98" s="82" t="s">
        <v>39</v>
      </c>
      <c r="B98">
        <v>2</v>
      </c>
    </row>
    <row r="99" spans="1:2" x14ac:dyDescent="0.2">
      <c r="A99" s="82" t="s">
        <v>180</v>
      </c>
      <c r="B99">
        <v>1</v>
      </c>
    </row>
    <row r="100" spans="1:2" x14ac:dyDescent="0.2">
      <c r="A100" s="68" t="s">
        <v>1451</v>
      </c>
      <c r="B100">
        <v>5</v>
      </c>
    </row>
    <row r="101" spans="1:2" x14ac:dyDescent="0.2">
      <c r="A101" s="82" t="s">
        <v>89</v>
      </c>
      <c r="B101">
        <v>1</v>
      </c>
    </row>
    <row r="102" spans="1:2" x14ac:dyDescent="0.2">
      <c r="A102" s="82" t="s">
        <v>39</v>
      </c>
      <c r="B102">
        <v>1</v>
      </c>
    </row>
    <row r="103" spans="1:2" x14ac:dyDescent="0.2">
      <c r="A103" s="82" t="s">
        <v>27</v>
      </c>
      <c r="B103">
        <v>1</v>
      </c>
    </row>
    <row r="104" spans="1:2" x14ac:dyDescent="0.2">
      <c r="A104" s="82" t="s">
        <v>58</v>
      </c>
      <c r="B104">
        <v>1</v>
      </c>
    </row>
    <row r="105" spans="1:2" x14ac:dyDescent="0.2">
      <c r="A105" s="82" t="s">
        <v>244</v>
      </c>
      <c r="B105">
        <v>1</v>
      </c>
    </row>
    <row r="106" spans="1:2" x14ac:dyDescent="0.2">
      <c r="A106" s="68" t="s">
        <v>1452</v>
      </c>
      <c r="B106">
        <v>3</v>
      </c>
    </row>
    <row r="107" spans="1:2" x14ac:dyDescent="0.2">
      <c r="A107" s="82" t="s">
        <v>39</v>
      </c>
      <c r="B107">
        <v>1</v>
      </c>
    </row>
    <row r="108" spans="1:2" x14ac:dyDescent="0.2">
      <c r="A108" s="82" t="s">
        <v>38</v>
      </c>
      <c r="B108">
        <v>1</v>
      </c>
    </row>
    <row r="109" spans="1:2" x14ac:dyDescent="0.2">
      <c r="A109" s="82" t="s">
        <v>24</v>
      </c>
      <c r="B109">
        <v>1</v>
      </c>
    </row>
    <row r="110" spans="1:2" x14ac:dyDescent="0.2">
      <c r="A110" s="68" t="s">
        <v>1453</v>
      </c>
      <c r="B110">
        <v>5</v>
      </c>
    </row>
    <row r="111" spans="1:2" x14ac:dyDescent="0.2">
      <c r="A111" s="82" t="s">
        <v>614</v>
      </c>
      <c r="B111">
        <v>1</v>
      </c>
    </row>
    <row r="112" spans="1:2" x14ac:dyDescent="0.2">
      <c r="A112" s="82" t="s">
        <v>27</v>
      </c>
      <c r="B112">
        <v>1</v>
      </c>
    </row>
    <row r="113" spans="1:2" x14ac:dyDescent="0.2">
      <c r="A113" s="82" t="s">
        <v>778</v>
      </c>
      <c r="B113">
        <v>1</v>
      </c>
    </row>
    <row r="114" spans="1:2" x14ac:dyDescent="0.2">
      <c r="A114" s="82" t="s">
        <v>196</v>
      </c>
      <c r="B114">
        <v>1</v>
      </c>
    </row>
    <row r="115" spans="1:2" x14ac:dyDescent="0.2">
      <c r="A115" s="82" t="s">
        <v>996</v>
      </c>
      <c r="B115">
        <v>1</v>
      </c>
    </row>
    <row r="116" spans="1:2" x14ac:dyDescent="0.2">
      <c r="A116" s="68" t="s">
        <v>1454</v>
      </c>
      <c r="B116">
        <v>4</v>
      </c>
    </row>
    <row r="117" spans="1:2" x14ac:dyDescent="0.2">
      <c r="A117" s="82" t="s">
        <v>447</v>
      </c>
      <c r="B117">
        <v>1</v>
      </c>
    </row>
    <row r="118" spans="1:2" x14ac:dyDescent="0.2">
      <c r="A118" s="82" t="s">
        <v>27</v>
      </c>
      <c r="B118">
        <v>3</v>
      </c>
    </row>
    <row r="119" spans="1:2" x14ac:dyDescent="0.2">
      <c r="A119" s="68" t="s">
        <v>1455</v>
      </c>
      <c r="B119">
        <v>2</v>
      </c>
    </row>
    <row r="120" spans="1:2" x14ac:dyDescent="0.2">
      <c r="A120" s="82" t="s">
        <v>27</v>
      </c>
      <c r="B120">
        <v>1</v>
      </c>
    </row>
    <row r="121" spans="1:2" x14ac:dyDescent="0.2">
      <c r="A121" s="82" t="s">
        <v>58</v>
      </c>
      <c r="B121">
        <v>1</v>
      </c>
    </row>
    <row r="122" spans="1:2" x14ac:dyDescent="0.2">
      <c r="A122" s="68" t="s">
        <v>1456</v>
      </c>
      <c r="B122">
        <v>10</v>
      </c>
    </row>
    <row r="123" spans="1:2" x14ac:dyDescent="0.2">
      <c r="A123" s="82" t="s">
        <v>136</v>
      </c>
      <c r="B123">
        <v>4</v>
      </c>
    </row>
    <row r="124" spans="1:2" x14ac:dyDescent="0.2">
      <c r="A124" s="82" t="s">
        <v>529</v>
      </c>
      <c r="B124">
        <v>3</v>
      </c>
    </row>
    <row r="125" spans="1:2" x14ac:dyDescent="0.2">
      <c r="A125" s="82" t="s">
        <v>27</v>
      </c>
      <c r="B125">
        <v>2</v>
      </c>
    </row>
    <row r="126" spans="1:2" x14ac:dyDescent="0.2">
      <c r="A126" s="82" t="s">
        <v>78</v>
      </c>
      <c r="B126">
        <v>1</v>
      </c>
    </row>
    <row r="127" spans="1:2" x14ac:dyDescent="0.2">
      <c r="A127" s="68" t="s">
        <v>1457</v>
      </c>
      <c r="B127">
        <v>3</v>
      </c>
    </row>
    <row r="128" spans="1:2" x14ac:dyDescent="0.2">
      <c r="A128" s="82" t="s">
        <v>709</v>
      </c>
      <c r="B128">
        <v>1</v>
      </c>
    </row>
    <row r="129" spans="1:2" x14ac:dyDescent="0.2">
      <c r="A129" s="82" t="s">
        <v>289</v>
      </c>
      <c r="B129">
        <v>2</v>
      </c>
    </row>
    <row r="130" spans="1:2" x14ac:dyDescent="0.2">
      <c r="A130" s="68" t="s">
        <v>1458</v>
      </c>
      <c r="B130">
        <v>1</v>
      </c>
    </row>
    <row r="131" spans="1:2" x14ac:dyDescent="0.2">
      <c r="A131" s="82" t="s">
        <v>529</v>
      </c>
      <c r="B131">
        <v>1</v>
      </c>
    </row>
    <row r="132" spans="1:2" x14ac:dyDescent="0.2">
      <c r="A132" s="68" t="s">
        <v>1459</v>
      </c>
      <c r="B132">
        <v>2</v>
      </c>
    </row>
    <row r="133" spans="1:2" x14ac:dyDescent="0.2">
      <c r="A133" s="82" t="s">
        <v>1216</v>
      </c>
      <c r="B133">
        <v>1</v>
      </c>
    </row>
    <row r="134" spans="1:2" x14ac:dyDescent="0.2">
      <c r="A134" s="82" t="s">
        <v>24</v>
      </c>
      <c r="B134">
        <v>1</v>
      </c>
    </row>
    <row r="135" spans="1:2" x14ac:dyDescent="0.2">
      <c r="A135" s="68" t="s">
        <v>1460</v>
      </c>
      <c r="B135">
        <v>1</v>
      </c>
    </row>
    <row r="136" spans="1:2" x14ac:dyDescent="0.2">
      <c r="A136" s="82" t="s">
        <v>620</v>
      </c>
      <c r="B136">
        <v>1</v>
      </c>
    </row>
    <row r="137" spans="1:2" x14ac:dyDescent="0.2">
      <c r="A137" s="68" t="s">
        <v>1461</v>
      </c>
      <c r="B137">
        <v>16</v>
      </c>
    </row>
    <row r="138" spans="1:2" x14ac:dyDescent="0.2">
      <c r="A138" s="82" t="s">
        <v>39</v>
      </c>
      <c r="B138">
        <v>5</v>
      </c>
    </row>
    <row r="139" spans="1:2" x14ac:dyDescent="0.2">
      <c r="A139" s="82" t="s">
        <v>27</v>
      </c>
      <c r="B139">
        <v>1</v>
      </c>
    </row>
    <row r="140" spans="1:2" x14ac:dyDescent="0.2">
      <c r="A140" s="82" t="s">
        <v>344</v>
      </c>
      <c r="B140">
        <v>1</v>
      </c>
    </row>
    <row r="141" spans="1:2" x14ac:dyDescent="0.2">
      <c r="A141" s="82" t="s">
        <v>345</v>
      </c>
      <c r="B141">
        <v>1</v>
      </c>
    </row>
    <row r="142" spans="1:2" x14ac:dyDescent="0.2">
      <c r="A142" s="82" t="s">
        <v>38</v>
      </c>
      <c r="B142">
        <v>2</v>
      </c>
    </row>
    <row r="143" spans="1:2" x14ac:dyDescent="0.2">
      <c r="A143" s="82" t="s">
        <v>24</v>
      </c>
      <c r="B143">
        <v>1</v>
      </c>
    </row>
    <row r="144" spans="1:2" x14ac:dyDescent="0.2">
      <c r="A144" s="82" t="s">
        <v>261</v>
      </c>
      <c r="B144">
        <v>1</v>
      </c>
    </row>
    <row r="145" spans="1:2" x14ac:dyDescent="0.2">
      <c r="A145" s="82" t="s">
        <v>53</v>
      </c>
      <c r="B145">
        <v>1</v>
      </c>
    </row>
    <row r="146" spans="1:2" x14ac:dyDescent="0.2">
      <c r="A146" s="82" t="s">
        <v>289</v>
      </c>
      <c r="B146">
        <v>1</v>
      </c>
    </row>
    <row r="147" spans="1:2" x14ac:dyDescent="0.2">
      <c r="A147" s="82" t="s">
        <v>196</v>
      </c>
      <c r="B147">
        <v>2</v>
      </c>
    </row>
    <row r="148" spans="1:2" x14ac:dyDescent="0.2">
      <c r="A148" s="68" t="s">
        <v>1462</v>
      </c>
      <c r="B148">
        <v>9</v>
      </c>
    </row>
    <row r="149" spans="1:2" x14ac:dyDescent="0.2">
      <c r="A149" s="82" t="s">
        <v>988</v>
      </c>
      <c r="B149">
        <v>1</v>
      </c>
    </row>
    <row r="150" spans="1:2" x14ac:dyDescent="0.2">
      <c r="A150" s="82" t="s">
        <v>24</v>
      </c>
      <c r="B150">
        <v>1</v>
      </c>
    </row>
    <row r="151" spans="1:2" x14ac:dyDescent="0.2">
      <c r="A151" s="82" t="s">
        <v>78</v>
      </c>
      <c r="B151">
        <v>1</v>
      </c>
    </row>
    <row r="152" spans="1:2" x14ac:dyDescent="0.2">
      <c r="A152" s="82" t="s">
        <v>53</v>
      </c>
      <c r="B152">
        <v>1</v>
      </c>
    </row>
    <row r="153" spans="1:2" x14ac:dyDescent="0.2">
      <c r="A153" s="82" t="s">
        <v>715</v>
      </c>
      <c r="B153">
        <v>2</v>
      </c>
    </row>
    <row r="154" spans="1:2" x14ac:dyDescent="0.2">
      <c r="A154" s="82" t="s">
        <v>778</v>
      </c>
      <c r="B154">
        <v>1</v>
      </c>
    </row>
    <row r="155" spans="1:2" x14ac:dyDescent="0.2">
      <c r="A155" s="82" t="s">
        <v>1178</v>
      </c>
      <c r="B155">
        <v>1</v>
      </c>
    </row>
    <row r="156" spans="1:2" x14ac:dyDescent="0.2">
      <c r="A156" s="82" t="s">
        <v>289</v>
      </c>
      <c r="B156">
        <v>1</v>
      </c>
    </row>
    <row r="157" spans="1:2" x14ac:dyDescent="0.2">
      <c r="A157" s="68" t="s">
        <v>1463</v>
      </c>
      <c r="B157">
        <v>20</v>
      </c>
    </row>
    <row r="158" spans="1:2" x14ac:dyDescent="0.2">
      <c r="A158" s="82" t="s">
        <v>1084</v>
      </c>
      <c r="B158">
        <v>1</v>
      </c>
    </row>
    <row r="159" spans="1:2" x14ac:dyDescent="0.2">
      <c r="A159" s="82" t="s">
        <v>114</v>
      </c>
      <c r="B159">
        <v>1</v>
      </c>
    </row>
    <row r="160" spans="1:2" x14ac:dyDescent="0.2">
      <c r="A160" s="82" t="s">
        <v>27</v>
      </c>
      <c r="B160">
        <v>5</v>
      </c>
    </row>
    <row r="161" spans="1:2" x14ac:dyDescent="0.2">
      <c r="A161" s="82" t="s">
        <v>24</v>
      </c>
      <c r="B161">
        <v>8</v>
      </c>
    </row>
    <row r="162" spans="1:2" x14ac:dyDescent="0.2">
      <c r="A162" s="82" t="s">
        <v>1021</v>
      </c>
      <c r="B162">
        <v>1</v>
      </c>
    </row>
    <row r="163" spans="1:2" x14ac:dyDescent="0.2">
      <c r="A163" s="82" t="s">
        <v>778</v>
      </c>
      <c r="B163">
        <v>1</v>
      </c>
    </row>
    <row r="164" spans="1:2" x14ac:dyDescent="0.2">
      <c r="A164" s="82" t="s">
        <v>326</v>
      </c>
      <c r="B164">
        <v>1</v>
      </c>
    </row>
    <row r="165" spans="1:2" x14ac:dyDescent="0.2">
      <c r="A165" s="82" t="s">
        <v>289</v>
      </c>
      <c r="B165">
        <v>1</v>
      </c>
    </row>
    <row r="166" spans="1:2" x14ac:dyDescent="0.2">
      <c r="A166" s="82" t="s">
        <v>424</v>
      </c>
      <c r="B166">
        <v>1</v>
      </c>
    </row>
    <row r="167" spans="1:2" x14ac:dyDescent="0.2">
      <c r="A167" s="68" t="s">
        <v>1464</v>
      </c>
      <c r="B167">
        <v>3</v>
      </c>
    </row>
    <row r="168" spans="1:2" x14ac:dyDescent="0.2">
      <c r="A168" s="82" t="s">
        <v>39</v>
      </c>
      <c r="B168">
        <v>1</v>
      </c>
    </row>
    <row r="169" spans="1:2" x14ac:dyDescent="0.2">
      <c r="A169" s="82" t="s">
        <v>38</v>
      </c>
      <c r="B169">
        <v>1</v>
      </c>
    </row>
    <row r="170" spans="1:2" x14ac:dyDescent="0.2">
      <c r="A170" s="82" t="s">
        <v>715</v>
      </c>
      <c r="B170">
        <v>1</v>
      </c>
    </row>
    <row r="171" spans="1:2" x14ac:dyDescent="0.2">
      <c r="A171" s="68" t="s">
        <v>1432</v>
      </c>
      <c r="B171">
        <v>205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23FEE-9016-A048-943C-EB28AF62E780}">
  <dimension ref="A1:T863"/>
  <sheetViews>
    <sheetView topLeftCell="G10" zoomScale="114" zoomScaleNormal="114" workbookViewId="0">
      <selection activeCell="H2" sqref="H2"/>
    </sheetView>
  </sheetViews>
  <sheetFormatPr baseColWidth="10" defaultRowHeight="15" x14ac:dyDescent="0.2"/>
  <cols>
    <col min="1" max="2" width="14.83203125" style="8" customWidth="1"/>
    <col min="3" max="3" width="12.33203125" style="8" bestFit="1" customWidth="1"/>
    <col min="4" max="4" width="18.6640625" style="8" customWidth="1"/>
    <col min="5" max="5" width="36" style="8" bestFit="1" customWidth="1"/>
    <col min="6" max="6" width="41.33203125" style="8" bestFit="1" customWidth="1"/>
    <col min="7" max="7" width="38.5" style="8" customWidth="1"/>
    <col min="8" max="8" width="18.33203125" style="8" customWidth="1"/>
    <col min="9" max="9" width="14.83203125" style="8" customWidth="1"/>
    <col min="10" max="10" width="97.6640625" style="13" customWidth="1"/>
    <col min="11" max="11" width="49.33203125" style="28" customWidth="1"/>
    <col min="12" max="12" width="52.33203125" style="28" customWidth="1"/>
    <col min="13" max="13" width="74.6640625" style="28" customWidth="1"/>
    <col min="14" max="14" width="10.83203125" style="29"/>
    <col min="15" max="15" width="14.6640625" style="29" customWidth="1"/>
    <col min="16" max="16" width="16.6640625" style="29" customWidth="1"/>
    <col min="17" max="17" width="17.6640625" style="29" customWidth="1"/>
    <col min="18" max="19" width="16.1640625" style="29" customWidth="1"/>
    <col min="20" max="20" width="15.33203125" customWidth="1"/>
  </cols>
  <sheetData>
    <row r="1" spans="1:20" ht="16" x14ac:dyDescent="0.2">
      <c r="A1" s="1" t="s">
        <v>1434</v>
      </c>
      <c r="B1" s="1" t="s">
        <v>1435</v>
      </c>
      <c r="C1" s="2" t="s">
        <v>4</v>
      </c>
      <c r="D1" s="2" t="s">
        <v>1436</v>
      </c>
      <c r="E1" s="2" t="s">
        <v>5</v>
      </c>
      <c r="F1" s="2" t="s">
        <v>6</v>
      </c>
      <c r="G1" s="2" t="s">
        <v>7</v>
      </c>
      <c r="H1" s="2" t="s">
        <v>1437</v>
      </c>
      <c r="I1" s="17" t="s">
        <v>14</v>
      </c>
      <c r="J1" s="19" t="s">
        <v>21</v>
      </c>
      <c r="K1" s="19" t="s">
        <v>1469</v>
      </c>
      <c r="L1" s="19" t="s">
        <v>1470</v>
      </c>
      <c r="M1" s="19" t="s">
        <v>1840</v>
      </c>
      <c r="N1" s="17" t="s">
        <v>1424</v>
      </c>
      <c r="O1" s="17" t="s">
        <v>1425</v>
      </c>
      <c r="P1" s="17" t="s">
        <v>1426</v>
      </c>
      <c r="Q1" s="17" t="s">
        <v>1427</v>
      </c>
      <c r="R1" s="17" t="s">
        <v>1428</v>
      </c>
      <c r="S1" s="17" t="s">
        <v>1429</v>
      </c>
      <c r="T1" s="81" t="s">
        <v>1430</v>
      </c>
    </row>
    <row r="2" spans="1:20" ht="32" x14ac:dyDescent="0.2">
      <c r="A2" s="14">
        <v>45658</v>
      </c>
      <c r="B2" s="8" t="str">
        <f>"Quarter" &amp; INT((MONTH(A2)-1)/3)+1</f>
        <v>Quarter1</v>
      </c>
      <c r="C2" s="8" t="s">
        <v>111</v>
      </c>
      <c r="D2" s="8" t="str">
        <f>IF(OR(
    ISNUMBER(SEARCH("Taxi", G2)),
    ISNUMBER(SEARCH("Take-off", G2)),
    ISNUMBER(SEARCH("Climb", G2))
),
    LEFT(C2, FIND("-", C2)-1),
    RIGHT(C2, LEN(C2) - FIND("-", C2))
)</f>
        <v>SXR</v>
      </c>
      <c r="E2" s="8" t="s">
        <v>112</v>
      </c>
      <c r="F2" s="8" t="s">
        <v>113</v>
      </c>
      <c r="G2" s="8" t="s">
        <v>114</v>
      </c>
      <c r="H2" s="8" t="str">
        <f>IF(OR(ISNUMBER(SEARCH("Taxi", G2))), "Taxi",
 IF(OR(ISNUMBER(SEARCH("Take-off", G2)), ISNUMBER(SEARCH("Climb", G2)), ISNUMBER(SEARCH("Gear Retraction", G2)), ISNUMBER(SEARCH("Config Change", G2))), "Climb",
 IF(ISNUMBER(SEARCH("Cruise", G2)), "Cruise",
 "Approach")))</f>
        <v>Approach</v>
      </c>
      <c r="I2" s="8" t="s">
        <v>115</v>
      </c>
      <c r="J2" s="13" t="s">
        <v>116</v>
      </c>
      <c r="K2" s="13" t="str">
        <f>E2 &amp; " | " &amp; G2</f>
        <v>ANAND MURTHY TIWARI | Deviation Above Glideslope (&lt;1000 ft)</v>
      </c>
      <c r="L2" s="13" t="str">
        <f>F2 &amp; " | " &amp; G2</f>
        <v>ANUPAM SHARMA. | Deviation Above Glideslope (&lt;1000 ft)</v>
      </c>
      <c r="M2" s="13" t="str">
        <f>D2 &amp; " | " &amp; G2</f>
        <v>SXR | Deviation Above Glideslope (&lt;1000 ft)</v>
      </c>
      <c r="N2" s="8">
        <f>IFERROR(VALUE(MID(J2,FIND("for ",J2)+4,FIND(" sec",J2)-FIND("for ",J2)-4)),"")</f>
        <v>8</v>
      </c>
      <c r="O2" s="8">
        <f>IFERROR(VALUE(MID(J2,FIND("Max Deviation ",J2)+14,FIND(" at",J2)-FIND("Max Deviation ",J2)-14)),"")</f>
        <v>1.54</v>
      </c>
      <c r="P2" s="8" t="str">
        <f>IFERROR(VALUE(MID(J2,FIND("Altitude:",J2)+9,FIND(" ft",J2)-FIND("Altitude:",J2)-9)),"")</f>
        <v/>
      </c>
      <c r="Q2" s="8" t="str">
        <f>IFERROR(VALUE(MID(J2,FIND("Max CAS:",J2)+8,FIND(" kts",J2)-FIND("Max CAS:",J2)-8)),"")</f>
        <v/>
      </c>
      <c r="R2" s="8" t="str">
        <f>IFERROR(VALUE(MID(J2,FIND("Max ROD:",J2)+8,FIND(" fpm",J2)-FIND("Max ROD:",J2)-8)),"")</f>
        <v/>
      </c>
      <c r="S2" s="8" t="str">
        <f>IFERROR(VALUE(MID(J2,FIND("At ",J2)+3,FIND(" ft",J2)-FIND("At ",J2)-3)),"")</f>
        <v/>
      </c>
      <c r="T2" s="8" t="str">
        <f>IF(I2="Information","Amber","Red")</f>
        <v>Red</v>
      </c>
    </row>
    <row r="3" spans="1:20" ht="16" x14ac:dyDescent="0.2">
      <c r="A3" s="14">
        <v>45660</v>
      </c>
      <c r="B3" s="8" t="str">
        <f t="shared" ref="B3:B35" si="0">"Quarter" &amp; INT((MONTH(A3)-1)/3)+1</f>
        <v>Quarter1</v>
      </c>
      <c r="C3" s="8" t="s">
        <v>111</v>
      </c>
      <c r="D3" s="8" t="str">
        <f t="shared" ref="D3:D35" si="1">IF(OR(
    ISNUMBER(SEARCH("Taxi", G3)),
    ISNUMBER(SEARCH("Take-off", G3)),
    ISNUMBER(SEARCH("Climb", G3))
),
    LEFT(C3, FIND("-", C3)-1),
    RIGHT(C3, LEN(C3) - FIND("-", C3))
)</f>
        <v>SXR</v>
      </c>
      <c r="E3" s="8" t="s">
        <v>151</v>
      </c>
      <c r="F3" s="8" t="s">
        <v>152</v>
      </c>
      <c r="G3" s="8" t="s">
        <v>27</v>
      </c>
      <c r="H3" s="8" t="str">
        <f t="shared" ref="H3:H35" si="2">IF(OR(ISNUMBER(SEARCH("Taxi", G3))), "Taxi",
 IF(OR(ISNUMBER(SEARCH("Take-off", G3)), ISNUMBER(SEARCH("Climb", G3)), ISNUMBER(SEARCH("Gear Retraction", G3)), ISNUMBER(SEARCH("Config Change", G3))), "Climb",
 IF(ISNUMBER(SEARCH("Cruise", G3)), "Cruise",
 "Approach")))</f>
        <v>Approach</v>
      </c>
      <c r="I3" s="8" t="s">
        <v>157</v>
      </c>
      <c r="J3" s="13" t="s">
        <v>161</v>
      </c>
      <c r="K3" s="13" t="str">
        <f t="shared" ref="K3:K66" si="3">E3 &amp; " | " &amp; G3</f>
        <v>NIMISH KUMAR SINGH | Go around</v>
      </c>
      <c r="L3" s="13" t="str">
        <f t="shared" ref="L3:L66" si="4">F3 &amp; " | " &amp; G3</f>
        <v>SUMIT GUPTA | Go around</v>
      </c>
      <c r="M3" s="13" t="str">
        <f t="shared" ref="M3:M66" si="5">D3 &amp; " | " &amp; G3</f>
        <v>SXR | Go around</v>
      </c>
      <c r="N3" s="8" t="str">
        <f t="shared" ref="N3:N35" si="6">IFERROR(VALUE(MID(J3,FIND("for ",J3)+4,FIND(" sec",J3)-FIND("for ",J3)-4)),"")</f>
        <v/>
      </c>
      <c r="O3" s="8" t="str">
        <f t="shared" ref="O3:O35" si="7">IFERROR(VALUE(MID(J3,FIND("Max Deviation ",J3)+14,FIND(" at",J3)-FIND("Max Deviation ",J3)-14)),"")</f>
        <v/>
      </c>
      <c r="P3" s="8" t="str">
        <f t="shared" ref="P3:P35" si="8">IFERROR(VALUE(MID(J3,FIND("Altitude:",J3)+9,FIND(" ft",J3)-FIND("Altitude:",J3)-9)),"")</f>
        <v/>
      </c>
      <c r="Q3" s="8" t="str">
        <f t="shared" ref="Q3:Q35" si="9">IFERROR(VALUE(MID(J3,FIND("Max CAS:",J3)+8,FIND(" kts",J3)-FIND("Max CAS:",J3)-8)),"")</f>
        <v/>
      </c>
      <c r="R3" s="8" t="str">
        <f t="shared" ref="R3:R35" si="10">IFERROR(VALUE(MID(J3,FIND("Max ROD:",J3)+8,FIND(" fpm",J3)-FIND("Max ROD:",J3)-8)),"")</f>
        <v/>
      </c>
      <c r="S3" s="8">
        <f t="shared" ref="S3:S35" si="11">IFERROR(VALUE(MID(J3,FIND("At ",J3)+3,FIND(" ft",J3)-FIND("At ",J3)-3)),"")</f>
        <v>116</v>
      </c>
      <c r="T3" s="8" t="str">
        <f t="shared" ref="T3:T35" si="12">IF(I3="Information","Amber","Red")</f>
        <v>Red</v>
      </c>
    </row>
    <row r="4" spans="1:20" ht="16" x14ac:dyDescent="0.2">
      <c r="A4" s="14">
        <v>45661</v>
      </c>
      <c r="B4" s="8" t="str">
        <f t="shared" si="0"/>
        <v>Quarter1</v>
      </c>
      <c r="C4" s="8" t="s">
        <v>165</v>
      </c>
      <c r="D4" s="8" t="str">
        <f t="shared" si="1"/>
        <v>PAT</v>
      </c>
      <c r="E4" s="8" t="s">
        <v>166</v>
      </c>
      <c r="F4" s="8" t="s">
        <v>167</v>
      </c>
      <c r="G4" s="8" t="s">
        <v>38</v>
      </c>
      <c r="H4" s="8" t="str">
        <f t="shared" si="2"/>
        <v>Approach</v>
      </c>
      <c r="I4" s="8" t="s">
        <v>115</v>
      </c>
      <c r="J4" s="13" t="s">
        <v>171</v>
      </c>
      <c r="K4" s="13" t="str">
        <f t="shared" si="3"/>
        <v>SUDHIR SHARMA | GPWS (GLIDESLOPE)</v>
      </c>
      <c r="L4" s="13" t="str">
        <f t="shared" si="4"/>
        <v>PARAS JYOT SINGH AHLUWALIA | GPWS (GLIDESLOPE)</v>
      </c>
      <c r="M4" s="13" t="str">
        <f t="shared" si="5"/>
        <v>PAT | GPWS (GLIDESLOPE)</v>
      </c>
      <c r="N4" s="8">
        <f t="shared" si="6"/>
        <v>2</v>
      </c>
      <c r="O4" s="8" t="str">
        <f t="shared" si="7"/>
        <v/>
      </c>
      <c r="P4" s="8" t="str">
        <f t="shared" si="8"/>
        <v/>
      </c>
      <c r="Q4" s="8" t="str">
        <f t="shared" si="9"/>
        <v/>
      </c>
      <c r="R4" s="8" t="str">
        <f t="shared" si="10"/>
        <v/>
      </c>
      <c r="S4" s="8">
        <f t="shared" si="11"/>
        <v>139</v>
      </c>
      <c r="T4" s="8" t="str">
        <f t="shared" si="12"/>
        <v>Red</v>
      </c>
    </row>
    <row r="5" spans="1:20" ht="32" x14ac:dyDescent="0.2">
      <c r="A5" s="14">
        <v>45661</v>
      </c>
      <c r="B5" s="8" t="str">
        <f t="shared" si="0"/>
        <v>Quarter1</v>
      </c>
      <c r="C5" s="8" t="s">
        <v>165</v>
      </c>
      <c r="D5" s="8" t="str">
        <f t="shared" si="1"/>
        <v>PAT</v>
      </c>
      <c r="E5" s="8" t="s">
        <v>166</v>
      </c>
      <c r="F5" s="8" t="s">
        <v>167</v>
      </c>
      <c r="G5" s="8" t="s">
        <v>39</v>
      </c>
      <c r="H5" s="8" t="str">
        <f t="shared" si="2"/>
        <v>Approach</v>
      </c>
      <c r="I5" s="8" t="s">
        <v>115</v>
      </c>
      <c r="J5" s="13" t="s">
        <v>172</v>
      </c>
      <c r="K5" s="13" t="str">
        <f t="shared" si="3"/>
        <v>SUDHIR SHARMA | Deviation Below Glideslope (&lt;1000 ft)</v>
      </c>
      <c r="L5" s="13" t="str">
        <f t="shared" si="4"/>
        <v>PARAS JYOT SINGH AHLUWALIA | Deviation Below Glideslope (&lt;1000 ft)</v>
      </c>
      <c r="M5" s="13" t="str">
        <f t="shared" si="5"/>
        <v>PAT | Deviation Below Glideslope (&lt;1000 ft)</v>
      </c>
      <c r="N5" s="8">
        <f t="shared" si="6"/>
        <v>7</v>
      </c>
      <c r="O5" s="8">
        <f t="shared" si="7"/>
        <v>1.84</v>
      </c>
      <c r="P5" s="8" t="str">
        <f t="shared" si="8"/>
        <v/>
      </c>
      <c r="Q5" s="8" t="str">
        <f t="shared" si="9"/>
        <v/>
      </c>
      <c r="R5" s="8" t="str">
        <f t="shared" si="10"/>
        <v/>
      </c>
      <c r="S5" s="8" t="str">
        <f t="shared" si="11"/>
        <v/>
      </c>
      <c r="T5" s="8" t="str">
        <f t="shared" si="12"/>
        <v>Red</v>
      </c>
    </row>
    <row r="6" spans="1:20" ht="16" x14ac:dyDescent="0.2">
      <c r="A6" s="14">
        <v>45661</v>
      </c>
      <c r="B6" s="8" t="str">
        <f t="shared" si="0"/>
        <v>Quarter1</v>
      </c>
      <c r="C6" s="8" t="s">
        <v>41</v>
      </c>
      <c r="D6" s="8" t="str">
        <f t="shared" si="1"/>
        <v>DEL</v>
      </c>
      <c r="E6" s="8" t="s">
        <v>169</v>
      </c>
      <c r="F6" s="8" t="s">
        <v>170</v>
      </c>
      <c r="G6" s="8" t="s">
        <v>27</v>
      </c>
      <c r="H6" s="8" t="str">
        <f t="shared" si="2"/>
        <v>Approach</v>
      </c>
      <c r="I6" s="8" t="s">
        <v>157</v>
      </c>
      <c r="J6" s="13" t="s">
        <v>173</v>
      </c>
      <c r="K6" s="13" t="str">
        <f t="shared" si="3"/>
        <v>SURYA BIR SINGH | Go around</v>
      </c>
      <c r="L6" s="13" t="str">
        <f t="shared" si="4"/>
        <v>SANJANA SANJAY AMRITE | Go around</v>
      </c>
      <c r="M6" s="13" t="str">
        <f t="shared" si="5"/>
        <v>DEL | Go around</v>
      </c>
      <c r="N6" s="8" t="str">
        <f t="shared" si="6"/>
        <v/>
      </c>
      <c r="O6" s="8" t="str">
        <f t="shared" si="7"/>
        <v/>
      </c>
      <c r="P6" s="8" t="str">
        <f t="shared" si="8"/>
        <v/>
      </c>
      <c r="Q6" s="8" t="str">
        <f t="shared" si="9"/>
        <v/>
      </c>
      <c r="R6" s="8" t="str">
        <f t="shared" si="10"/>
        <v/>
      </c>
      <c r="S6" s="8">
        <f t="shared" si="11"/>
        <v>219</v>
      </c>
      <c r="T6" s="8" t="str">
        <f t="shared" si="12"/>
        <v>Red</v>
      </c>
    </row>
    <row r="7" spans="1:20" ht="32" x14ac:dyDescent="0.2">
      <c r="A7" s="14">
        <v>45663</v>
      </c>
      <c r="B7" s="8" t="str">
        <f t="shared" si="0"/>
        <v>Quarter1</v>
      </c>
      <c r="C7" s="8" t="s">
        <v>177</v>
      </c>
      <c r="D7" s="8" t="str">
        <f t="shared" si="1"/>
        <v>GOP</v>
      </c>
      <c r="E7" s="8" t="s">
        <v>178</v>
      </c>
      <c r="F7" s="8" t="s">
        <v>179</v>
      </c>
      <c r="G7" s="8" t="s">
        <v>180</v>
      </c>
      <c r="H7" s="8" t="str">
        <f t="shared" si="2"/>
        <v>Climb</v>
      </c>
      <c r="I7" s="8" t="s">
        <v>115</v>
      </c>
      <c r="J7" s="13" t="s">
        <v>204</v>
      </c>
      <c r="K7" s="13" t="str">
        <f t="shared" si="3"/>
        <v>PRATIK KHAIRMODE | Excessive Bank after Take-off (0-400 ft)</v>
      </c>
      <c r="L7" s="13" t="str">
        <f t="shared" si="4"/>
        <v>CHETNA SEHRAWAT | Excessive Bank after Take-off (0-400 ft)</v>
      </c>
      <c r="M7" s="13" t="str">
        <f t="shared" si="5"/>
        <v>GOP | Excessive Bank after Take-off (0-400 ft)</v>
      </c>
      <c r="N7" s="8">
        <f t="shared" si="6"/>
        <v>3</v>
      </c>
      <c r="O7" s="8" t="str">
        <f t="shared" si="7"/>
        <v/>
      </c>
      <c r="P7" s="8">
        <f t="shared" si="8"/>
        <v>258</v>
      </c>
      <c r="Q7" s="8" t="str">
        <f t="shared" si="9"/>
        <v/>
      </c>
      <c r="R7" s="8" t="str">
        <f t="shared" si="10"/>
        <v/>
      </c>
      <c r="S7" s="8" t="str">
        <f t="shared" si="11"/>
        <v/>
      </c>
      <c r="T7" s="8" t="str">
        <f t="shared" si="12"/>
        <v>Red</v>
      </c>
    </row>
    <row r="8" spans="1:20" ht="16" x14ac:dyDescent="0.2">
      <c r="A8" s="14">
        <v>45663</v>
      </c>
      <c r="B8" s="8" t="str">
        <f t="shared" si="0"/>
        <v>Quarter1</v>
      </c>
      <c r="C8" s="8" t="s">
        <v>182</v>
      </c>
      <c r="D8" s="8" t="str">
        <f t="shared" si="1"/>
        <v>HYD</v>
      </c>
      <c r="E8" s="8" t="s">
        <v>183</v>
      </c>
      <c r="F8" s="8" t="s">
        <v>184</v>
      </c>
      <c r="G8" s="8" t="s">
        <v>38</v>
      </c>
      <c r="H8" s="8" t="str">
        <f t="shared" si="2"/>
        <v>Approach</v>
      </c>
      <c r="I8" s="8" t="s">
        <v>203</v>
      </c>
      <c r="J8" s="13" t="s">
        <v>205</v>
      </c>
      <c r="K8" s="13" t="str">
        <f t="shared" si="3"/>
        <v>ALOK KUMAR GARG | GPWS (GLIDESLOPE)</v>
      </c>
      <c r="L8" s="13" t="str">
        <f t="shared" si="4"/>
        <v>RUCHIR MANDAVIA | GPWS (GLIDESLOPE)</v>
      </c>
      <c r="M8" s="13" t="str">
        <f t="shared" si="5"/>
        <v>HYD | GPWS (GLIDESLOPE)</v>
      </c>
      <c r="N8" s="8">
        <f t="shared" si="6"/>
        <v>1</v>
      </c>
      <c r="O8" s="8" t="str">
        <f t="shared" si="7"/>
        <v/>
      </c>
      <c r="P8" s="8" t="str">
        <f t="shared" si="8"/>
        <v/>
      </c>
      <c r="Q8" s="8" t="str">
        <f t="shared" si="9"/>
        <v/>
      </c>
      <c r="R8" s="8" t="str">
        <f t="shared" si="10"/>
        <v/>
      </c>
      <c r="S8" s="8">
        <f t="shared" si="11"/>
        <v>168</v>
      </c>
      <c r="T8" s="8" t="str">
        <f t="shared" si="12"/>
        <v>Red</v>
      </c>
    </row>
    <row r="9" spans="1:20" ht="32" x14ac:dyDescent="0.2">
      <c r="A9" s="14">
        <v>45663</v>
      </c>
      <c r="B9" s="8" t="str">
        <f t="shared" si="0"/>
        <v>Quarter1</v>
      </c>
      <c r="C9" s="8" t="s">
        <v>182</v>
      </c>
      <c r="D9" s="8" t="str">
        <f t="shared" si="1"/>
        <v>HYD</v>
      </c>
      <c r="E9" s="8" t="s">
        <v>183</v>
      </c>
      <c r="F9" s="8" t="s">
        <v>184</v>
      </c>
      <c r="G9" s="8" t="s">
        <v>39</v>
      </c>
      <c r="H9" s="8" t="str">
        <f t="shared" si="2"/>
        <v>Approach</v>
      </c>
      <c r="I9" s="8" t="s">
        <v>203</v>
      </c>
      <c r="J9" s="13" t="s">
        <v>206</v>
      </c>
      <c r="K9" s="13" t="str">
        <f t="shared" si="3"/>
        <v>ALOK KUMAR GARG | Deviation Below Glideslope (&lt;1000 ft)</v>
      </c>
      <c r="L9" s="13" t="str">
        <f t="shared" si="4"/>
        <v>RUCHIR MANDAVIA | Deviation Below Glideslope (&lt;1000 ft)</v>
      </c>
      <c r="M9" s="13" t="str">
        <f t="shared" si="5"/>
        <v>HYD | Deviation Below Glideslope (&lt;1000 ft)</v>
      </c>
      <c r="N9" s="8">
        <f t="shared" si="6"/>
        <v>8</v>
      </c>
      <c r="O9" s="8">
        <f t="shared" si="7"/>
        <v>1.36</v>
      </c>
      <c r="P9" s="8" t="str">
        <f t="shared" si="8"/>
        <v/>
      </c>
      <c r="Q9" s="8" t="str">
        <f t="shared" si="9"/>
        <v/>
      </c>
      <c r="R9" s="8" t="str">
        <f t="shared" si="10"/>
        <v/>
      </c>
      <c r="S9" s="8" t="str">
        <f t="shared" si="11"/>
        <v/>
      </c>
      <c r="T9" s="8" t="str">
        <f t="shared" si="12"/>
        <v>Red</v>
      </c>
    </row>
    <row r="10" spans="1:20" ht="32" x14ac:dyDescent="0.2">
      <c r="A10" s="14">
        <v>45663</v>
      </c>
      <c r="B10" s="8" t="str">
        <f t="shared" si="0"/>
        <v>Quarter1</v>
      </c>
      <c r="C10" s="8" t="s">
        <v>214</v>
      </c>
      <c r="D10" s="8" t="str">
        <f t="shared" si="1"/>
        <v>AYJ</v>
      </c>
      <c r="E10" s="8" t="s">
        <v>215</v>
      </c>
      <c r="F10" s="8" t="s">
        <v>216</v>
      </c>
      <c r="G10" s="8" t="s">
        <v>39</v>
      </c>
      <c r="H10" s="8" t="str">
        <f t="shared" si="2"/>
        <v>Approach</v>
      </c>
      <c r="I10" s="8" t="s">
        <v>115</v>
      </c>
      <c r="J10" s="13" t="s">
        <v>217</v>
      </c>
      <c r="K10" s="13" t="str">
        <f t="shared" si="3"/>
        <v>JATIN CHANDRAKANT MER | Deviation Below Glideslope (&lt;1000 ft)</v>
      </c>
      <c r="L10" s="13" t="str">
        <f t="shared" si="4"/>
        <v>VISHAL CHHIKARA | Deviation Below Glideslope (&lt;1000 ft)</v>
      </c>
      <c r="M10" s="13" t="str">
        <f t="shared" si="5"/>
        <v>AYJ | Deviation Below Glideslope (&lt;1000 ft)</v>
      </c>
      <c r="N10" s="8">
        <f t="shared" si="6"/>
        <v>10</v>
      </c>
      <c r="O10" s="8">
        <f t="shared" si="7"/>
        <v>1.37</v>
      </c>
      <c r="P10" s="8" t="str">
        <f t="shared" si="8"/>
        <v/>
      </c>
      <c r="Q10" s="8" t="str">
        <f t="shared" si="9"/>
        <v/>
      </c>
      <c r="R10" s="8" t="str">
        <f t="shared" si="10"/>
        <v/>
      </c>
      <c r="S10" s="8" t="str">
        <f t="shared" si="11"/>
        <v/>
      </c>
      <c r="T10" s="8" t="str">
        <f t="shared" si="12"/>
        <v>Red</v>
      </c>
    </row>
    <row r="11" spans="1:20" ht="16" x14ac:dyDescent="0.2">
      <c r="A11" s="14">
        <v>45665</v>
      </c>
      <c r="B11" s="8" t="str">
        <f t="shared" si="0"/>
        <v>Quarter1</v>
      </c>
      <c r="C11" s="8" t="s">
        <v>221</v>
      </c>
      <c r="D11" s="8" t="str">
        <f t="shared" si="1"/>
        <v>PAT</v>
      </c>
      <c r="E11" s="8" t="s">
        <v>222</v>
      </c>
      <c r="F11" s="8" t="s">
        <v>223</v>
      </c>
      <c r="G11" s="8" t="s">
        <v>196</v>
      </c>
      <c r="H11" s="8" t="str">
        <f t="shared" si="2"/>
        <v>Climb</v>
      </c>
      <c r="I11" s="8" t="s">
        <v>115</v>
      </c>
      <c r="J11" s="13" t="s">
        <v>226</v>
      </c>
      <c r="K11" s="13" t="str">
        <f t="shared" si="3"/>
        <v>RASHMI SHARMA | Pitch Rate High During Take-off (Average)</v>
      </c>
      <c r="L11" s="13" t="str">
        <f t="shared" si="4"/>
        <v>ASHISH MISTRY | Pitch Rate High During Take-off (Average)</v>
      </c>
      <c r="M11" s="13" t="str">
        <f t="shared" si="5"/>
        <v>PAT | Pitch Rate High During Take-off (Average)</v>
      </c>
      <c r="N11" s="8" t="str">
        <f t="shared" si="6"/>
        <v/>
      </c>
      <c r="O11" s="8" t="str">
        <f t="shared" si="7"/>
        <v/>
      </c>
      <c r="P11" s="8" t="str">
        <f t="shared" si="8"/>
        <v/>
      </c>
      <c r="Q11" s="8" t="str">
        <f t="shared" si="9"/>
        <v/>
      </c>
      <c r="R11" s="8" t="str">
        <f t="shared" si="10"/>
        <v/>
      </c>
      <c r="S11" s="8" t="str">
        <f t="shared" si="11"/>
        <v/>
      </c>
      <c r="T11" s="8" t="str">
        <f t="shared" si="12"/>
        <v>Red</v>
      </c>
    </row>
    <row r="12" spans="1:20" ht="64" x14ac:dyDescent="0.2">
      <c r="A12" s="14">
        <v>45666</v>
      </c>
      <c r="B12" s="8" t="str">
        <f t="shared" si="0"/>
        <v>Quarter1</v>
      </c>
      <c r="C12" s="8" t="s">
        <v>230</v>
      </c>
      <c r="D12" s="8" t="str">
        <f t="shared" si="1"/>
        <v>DEL</v>
      </c>
      <c r="E12" s="8" t="s">
        <v>231</v>
      </c>
      <c r="F12" s="8" t="s">
        <v>148</v>
      </c>
      <c r="G12" s="8" t="s">
        <v>232</v>
      </c>
      <c r="H12" s="8" t="str">
        <f t="shared" si="2"/>
        <v>Approach</v>
      </c>
      <c r="I12" s="8" t="s">
        <v>115</v>
      </c>
      <c r="J12" s="22" t="s">
        <v>236</v>
      </c>
      <c r="K12" s="13" t="str">
        <f t="shared" si="3"/>
        <v>ISHAN SHARMA. | Long landing</v>
      </c>
      <c r="L12" s="13" t="str">
        <f t="shared" si="4"/>
        <v>ALHAD SUDHIR PHADKE | Long landing</v>
      </c>
      <c r="M12" s="13" t="str">
        <f t="shared" si="5"/>
        <v>DEL | Long landing</v>
      </c>
      <c r="N12" s="8" t="str">
        <f t="shared" si="6"/>
        <v/>
      </c>
      <c r="O12" s="8" t="str">
        <f t="shared" si="7"/>
        <v/>
      </c>
      <c r="P12" s="8" t="str">
        <f t="shared" si="8"/>
        <v/>
      </c>
      <c r="Q12" s="8" t="str">
        <f t="shared" si="9"/>
        <v/>
      </c>
      <c r="R12" s="8" t="str">
        <f t="shared" si="10"/>
        <v/>
      </c>
      <c r="S12" s="8">
        <f t="shared" si="11"/>
        <v>51</v>
      </c>
      <c r="T12" s="8" t="str">
        <f t="shared" si="12"/>
        <v>Red</v>
      </c>
    </row>
    <row r="13" spans="1:20" ht="32" x14ac:dyDescent="0.2">
      <c r="A13" s="14">
        <v>45666</v>
      </c>
      <c r="B13" s="8" t="str">
        <f t="shared" si="0"/>
        <v>Quarter1</v>
      </c>
      <c r="C13" s="8" t="s">
        <v>240</v>
      </c>
      <c r="D13" s="8" t="str">
        <f t="shared" si="1"/>
        <v>GOX</v>
      </c>
      <c r="E13" s="8" t="s">
        <v>241</v>
      </c>
      <c r="F13" s="8" t="s">
        <v>183</v>
      </c>
      <c r="G13" s="8" t="s">
        <v>244</v>
      </c>
      <c r="H13" s="8" t="str">
        <f t="shared" si="2"/>
        <v>Approach</v>
      </c>
      <c r="I13" s="8" t="s">
        <v>115</v>
      </c>
      <c r="J13" s="13" t="s">
        <v>247</v>
      </c>
      <c r="K13" s="13" t="str">
        <f t="shared" si="3"/>
        <v>ANIL ARORA | Localizer Deviation (&lt;1000 ft)</v>
      </c>
      <c r="L13" s="13" t="str">
        <f t="shared" si="4"/>
        <v>ALOK KUMAR GARG | Localizer Deviation (&lt;1000 ft)</v>
      </c>
      <c r="M13" s="13" t="str">
        <f t="shared" si="5"/>
        <v>GOX | Localizer Deviation (&lt;1000 ft)</v>
      </c>
      <c r="N13" s="8">
        <f t="shared" si="6"/>
        <v>5</v>
      </c>
      <c r="O13" s="8" t="str">
        <f t="shared" si="7"/>
        <v/>
      </c>
      <c r="P13" s="8" t="str">
        <f t="shared" si="8"/>
        <v/>
      </c>
      <c r="Q13" s="8" t="str">
        <f t="shared" si="9"/>
        <v/>
      </c>
      <c r="R13" s="8" t="str">
        <f t="shared" si="10"/>
        <v/>
      </c>
      <c r="S13" s="8" t="str">
        <f t="shared" si="11"/>
        <v/>
      </c>
      <c r="T13" s="8" t="str">
        <f t="shared" si="12"/>
        <v>Red</v>
      </c>
    </row>
    <row r="14" spans="1:20" ht="32" x14ac:dyDescent="0.2">
      <c r="A14" s="14">
        <v>45666</v>
      </c>
      <c r="B14" s="8" t="str">
        <f t="shared" si="0"/>
        <v>Quarter1</v>
      </c>
      <c r="C14" s="8" t="s">
        <v>240</v>
      </c>
      <c r="D14" s="8" t="str">
        <f t="shared" si="1"/>
        <v>GOX</v>
      </c>
      <c r="E14" s="8" t="s">
        <v>241</v>
      </c>
      <c r="F14" s="8" t="s">
        <v>183</v>
      </c>
      <c r="G14" s="8" t="s">
        <v>39</v>
      </c>
      <c r="H14" s="8" t="str">
        <f t="shared" si="2"/>
        <v>Approach</v>
      </c>
      <c r="I14" s="8" t="s">
        <v>115</v>
      </c>
      <c r="J14" s="13" t="s">
        <v>248</v>
      </c>
      <c r="K14" s="13" t="str">
        <f t="shared" si="3"/>
        <v>ANIL ARORA | Deviation Below Glideslope (&lt;1000 ft)</v>
      </c>
      <c r="L14" s="13" t="str">
        <f t="shared" si="4"/>
        <v>ALOK KUMAR GARG | Deviation Below Glideslope (&lt;1000 ft)</v>
      </c>
      <c r="M14" s="13" t="str">
        <f t="shared" si="5"/>
        <v>GOX | Deviation Below Glideslope (&lt;1000 ft)</v>
      </c>
      <c r="N14" s="8">
        <f t="shared" si="6"/>
        <v>4</v>
      </c>
      <c r="O14" s="8">
        <f t="shared" si="7"/>
        <v>1.1100000000000001</v>
      </c>
      <c r="P14" s="8" t="str">
        <f t="shared" si="8"/>
        <v/>
      </c>
      <c r="Q14" s="8" t="str">
        <f t="shared" si="9"/>
        <v/>
      </c>
      <c r="R14" s="8" t="str">
        <f t="shared" si="10"/>
        <v/>
      </c>
      <c r="S14" s="8" t="str">
        <f t="shared" si="11"/>
        <v/>
      </c>
      <c r="T14" s="8" t="str">
        <f t="shared" si="12"/>
        <v>Red</v>
      </c>
    </row>
    <row r="15" spans="1:20" ht="16" x14ac:dyDescent="0.2">
      <c r="A15" s="14">
        <v>45668</v>
      </c>
      <c r="B15" s="8" t="str">
        <f t="shared" si="0"/>
        <v>Quarter1</v>
      </c>
      <c r="C15" s="8" t="s">
        <v>251</v>
      </c>
      <c r="D15" s="8" t="str">
        <f t="shared" si="1"/>
        <v>DEL</v>
      </c>
      <c r="E15" s="8" t="s">
        <v>252</v>
      </c>
      <c r="F15" s="8" t="s">
        <v>33</v>
      </c>
      <c r="G15" s="8" t="s">
        <v>38</v>
      </c>
      <c r="H15" s="8" t="str">
        <f t="shared" si="2"/>
        <v>Approach</v>
      </c>
      <c r="I15" s="8" t="s">
        <v>115</v>
      </c>
      <c r="J15" s="13" t="s">
        <v>254</v>
      </c>
      <c r="K15" s="13" t="str">
        <f t="shared" si="3"/>
        <v>SAHIL TALWAR | GPWS (GLIDESLOPE)</v>
      </c>
      <c r="L15" s="13" t="str">
        <f t="shared" si="4"/>
        <v>UMANG BHATIA | GPWS (GLIDESLOPE)</v>
      </c>
      <c r="M15" s="13" t="str">
        <f t="shared" si="5"/>
        <v>DEL | GPWS (GLIDESLOPE)</v>
      </c>
      <c r="N15" s="8">
        <f t="shared" si="6"/>
        <v>1</v>
      </c>
      <c r="O15" s="8" t="str">
        <f t="shared" si="7"/>
        <v/>
      </c>
      <c r="P15" s="8" t="str">
        <f t="shared" si="8"/>
        <v/>
      </c>
      <c r="Q15" s="8" t="str">
        <f t="shared" si="9"/>
        <v/>
      </c>
      <c r="R15" s="8" t="str">
        <f t="shared" si="10"/>
        <v/>
      </c>
      <c r="S15" s="8">
        <f t="shared" si="11"/>
        <v>106</v>
      </c>
      <c r="T15" s="8" t="str">
        <f t="shared" si="12"/>
        <v>Red</v>
      </c>
    </row>
    <row r="16" spans="1:20" ht="32" x14ac:dyDescent="0.2">
      <c r="A16" s="14">
        <v>45668</v>
      </c>
      <c r="B16" s="8" t="str">
        <f t="shared" si="0"/>
        <v>Quarter1</v>
      </c>
      <c r="C16" s="8" t="s">
        <v>251</v>
      </c>
      <c r="D16" s="8" t="str">
        <f t="shared" si="1"/>
        <v>DEL</v>
      </c>
      <c r="E16" s="8" t="s">
        <v>252</v>
      </c>
      <c r="F16" s="8" t="s">
        <v>33</v>
      </c>
      <c r="G16" s="8" t="s">
        <v>39</v>
      </c>
      <c r="H16" s="8" t="str">
        <f t="shared" si="2"/>
        <v>Approach</v>
      </c>
      <c r="I16" s="8" t="s">
        <v>115</v>
      </c>
      <c r="J16" s="13" t="s">
        <v>255</v>
      </c>
      <c r="K16" s="13" t="str">
        <f t="shared" si="3"/>
        <v>SAHIL TALWAR | Deviation Below Glideslope (&lt;1000 ft)</v>
      </c>
      <c r="L16" s="13" t="str">
        <f t="shared" si="4"/>
        <v>UMANG BHATIA | Deviation Below Glideslope (&lt;1000 ft)</v>
      </c>
      <c r="M16" s="13" t="str">
        <f t="shared" si="5"/>
        <v>DEL | Deviation Below Glideslope (&lt;1000 ft)</v>
      </c>
      <c r="N16" s="8">
        <f t="shared" si="6"/>
        <v>4</v>
      </c>
      <c r="O16" s="8">
        <f t="shared" si="7"/>
        <v>1.82</v>
      </c>
      <c r="P16" s="8" t="str">
        <f t="shared" si="8"/>
        <v/>
      </c>
      <c r="Q16" s="8" t="str">
        <f t="shared" si="9"/>
        <v/>
      </c>
      <c r="R16" s="8" t="str">
        <f t="shared" si="10"/>
        <v/>
      </c>
      <c r="S16" s="8" t="str">
        <f t="shared" si="11"/>
        <v/>
      </c>
      <c r="T16" s="8" t="str">
        <f t="shared" si="12"/>
        <v>Red</v>
      </c>
    </row>
    <row r="17" spans="1:20" ht="32" x14ac:dyDescent="0.2">
      <c r="A17" s="20">
        <v>45666</v>
      </c>
      <c r="B17" s="8" t="str">
        <f t="shared" si="0"/>
        <v>Quarter1</v>
      </c>
      <c r="C17" s="8" t="s">
        <v>258</v>
      </c>
      <c r="D17" s="8" t="str">
        <f t="shared" si="1"/>
        <v>DEL</v>
      </c>
      <c r="E17" s="8" t="s">
        <v>259</v>
      </c>
      <c r="F17" s="8" t="s">
        <v>260</v>
      </c>
      <c r="G17" s="8" t="s">
        <v>261</v>
      </c>
      <c r="H17" s="8" t="str">
        <f t="shared" si="2"/>
        <v>Taxi</v>
      </c>
      <c r="I17" s="8" t="s">
        <v>115</v>
      </c>
      <c r="J17" s="13" t="s">
        <v>280</v>
      </c>
      <c r="K17" s="13" t="str">
        <f t="shared" si="3"/>
        <v>TEJAS SALUJA | High Taxi Speed (Straight)</v>
      </c>
      <c r="L17" s="13" t="str">
        <f t="shared" si="4"/>
        <v>KAMAL KUMAR | High Taxi Speed (Straight)</v>
      </c>
      <c r="M17" s="13" t="str">
        <f t="shared" si="5"/>
        <v>DEL | High Taxi Speed (Straight)</v>
      </c>
      <c r="N17" s="8">
        <f t="shared" si="6"/>
        <v>9</v>
      </c>
      <c r="O17" s="8" t="str">
        <f t="shared" si="7"/>
        <v/>
      </c>
      <c r="P17" s="8" t="str">
        <f t="shared" si="8"/>
        <v/>
      </c>
      <c r="Q17" s="8" t="str">
        <f t="shared" si="9"/>
        <v/>
      </c>
      <c r="R17" s="8" t="str">
        <f t="shared" si="10"/>
        <v/>
      </c>
      <c r="S17" s="8" t="str">
        <f t="shared" si="11"/>
        <v/>
      </c>
      <c r="T17" s="8" t="str">
        <f t="shared" si="12"/>
        <v>Red</v>
      </c>
    </row>
    <row r="18" spans="1:20" ht="16" x14ac:dyDescent="0.2">
      <c r="A18" s="14">
        <v>45669</v>
      </c>
      <c r="B18" s="8" t="str">
        <f t="shared" si="0"/>
        <v>Quarter1</v>
      </c>
      <c r="C18" s="8" t="s">
        <v>263</v>
      </c>
      <c r="D18" s="8" t="str">
        <f t="shared" si="1"/>
        <v>DEL</v>
      </c>
      <c r="E18" s="8" t="s">
        <v>224</v>
      </c>
      <c r="F18" s="8" t="s">
        <v>91</v>
      </c>
      <c r="G18" s="8" t="s">
        <v>264</v>
      </c>
      <c r="H18" s="8" t="str">
        <f t="shared" si="2"/>
        <v>Approach</v>
      </c>
      <c r="I18" s="8" t="s">
        <v>115</v>
      </c>
      <c r="J18" s="13" t="s">
        <v>282</v>
      </c>
      <c r="K18" s="13" t="str">
        <f t="shared" si="3"/>
        <v>VINAYDEEP BILHATIYA | Early Autopilot Engagement</v>
      </c>
      <c r="L18" s="13" t="str">
        <f t="shared" si="4"/>
        <v>SANCHIT NAGAR | Early Autopilot Engagement</v>
      </c>
      <c r="M18" s="13" t="str">
        <f t="shared" si="5"/>
        <v>DEL | Early Autopilot Engagement</v>
      </c>
      <c r="N18" s="8" t="str">
        <f t="shared" si="6"/>
        <v/>
      </c>
      <c r="O18" s="8" t="str">
        <f t="shared" si="7"/>
        <v/>
      </c>
      <c r="P18" s="8" t="str">
        <f t="shared" si="8"/>
        <v/>
      </c>
      <c r="Q18" s="8" t="str">
        <f t="shared" si="9"/>
        <v/>
      </c>
      <c r="R18" s="8" t="str">
        <f t="shared" si="10"/>
        <v/>
      </c>
      <c r="S18" s="8" t="str">
        <f t="shared" si="11"/>
        <v/>
      </c>
      <c r="T18" s="8" t="str">
        <f t="shared" si="12"/>
        <v>Red</v>
      </c>
    </row>
    <row r="19" spans="1:20" ht="16" x14ac:dyDescent="0.2">
      <c r="A19" s="14">
        <v>45669</v>
      </c>
      <c r="B19" s="8" t="str">
        <f t="shared" si="0"/>
        <v>Quarter1</v>
      </c>
      <c r="C19" s="8" t="s">
        <v>263</v>
      </c>
      <c r="D19" s="8" t="str">
        <f t="shared" si="1"/>
        <v>DEL</v>
      </c>
      <c r="E19" s="8" t="s">
        <v>224</v>
      </c>
      <c r="F19" s="8" t="s">
        <v>266</v>
      </c>
      <c r="G19" s="8" t="s">
        <v>264</v>
      </c>
      <c r="H19" s="8" t="str">
        <f t="shared" si="2"/>
        <v>Approach</v>
      </c>
      <c r="I19" s="8" t="s">
        <v>115</v>
      </c>
      <c r="J19" s="13" t="s">
        <v>283</v>
      </c>
      <c r="K19" s="13" t="str">
        <f t="shared" si="3"/>
        <v>VINAYDEEP BILHATIYA | Early Autopilot Engagement</v>
      </c>
      <c r="L19" s="13" t="str">
        <f t="shared" si="4"/>
        <v>RACHITA MATTA | Early Autopilot Engagement</v>
      </c>
      <c r="M19" s="13" t="str">
        <f t="shared" si="5"/>
        <v>DEL | Early Autopilot Engagement</v>
      </c>
      <c r="N19" s="8" t="str">
        <f t="shared" si="6"/>
        <v/>
      </c>
      <c r="O19" s="8" t="str">
        <f t="shared" si="7"/>
        <v/>
      </c>
      <c r="P19" s="8" t="str">
        <f t="shared" si="8"/>
        <v/>
      </c>
      <c r="Q19" s="8" t="str">
        <f t="shared" si="9"/>
        <v/>
      </c>
      <c r="R19" s="8" t="str">
        <f t="shared" si="10"/>
        <v/>
      </c>
      <c r="S19" s="8" t="str">
        <f t="shared" si="11"/>
        <v/>
      </c>
      <c r="T19" s="8" t="str">
        <f t="shared" si="12"/>
        <v>Red</v>
      </c>
    </row>
    <row r="20" spans="1:20" ht="16" x14ac:dyDescent="0.2">
      <c r="A20" s="14">
        <v>45669</v>
      </c>
      <c r="B20" s="8" t="str">
        <f t="shared" si="0"/>
        <v>Quarter1</v>
      </c>
      <c r="C20" s="8" t="s">
        <v>268</v>
      </c>
      <c r="D20" s="8" t="str">
        <f t="shared" si="1"/>
        <v>CCJ</v>
      </c>
      <c r="E20" s="8" t="s">
        <v>269</v>
      </c>
      <c r="F20" s="8" t="s">
        <v>270</v>
      </c>
      <c r="G20" s="8" t="s">
        <v>38</v>
      </c>
      <c r="H20" s="8" t="str">
        <f t="shared" si="2"/>
        <v>Approach</v>
      </c>
      <c r="I20" s="8" t="s">
        <v>115</v>
      </c>
      <c r="J20" s="13" t="s">
        <v>284</v>
      </c>
      <c r="K20" s="13" t="str">
        <f t="shared" si="3"/>
        <v>CHIRAG PRAKASH VANWARI | GPWS (GLIDESLOPE)</v>
      </c>
      <c r="L20" s="13" t="str">
        <f t="shared" si="4"/>
        <v>SANTOSH MAYUR RAYAN PALAKODETY | GPWS (GLIDESLOPE)</v>
      </c>
      <c r="M20" s="13" t="str">
        <f t="shared" si="5"/>
        <v>CCJ | GPWS (GLIDESLOPE)</v>
      </c>
      <c r="N20" s="8">
        <f t="shared" si="6"/>
        <v>1</v>
      </c>
      <c r="O20" s="8" t="str">
        <f t="shared" si="7"/>
        <v/>
      </c>
      <c r="P20" s="8" t="str">
        <f t="shared" si="8"/>
        <v/>
      </c>
      <c r="Q20" s="8" t="str">
        <f t="shared" si="9"/>
        <v/>
      </c>
      <c r="R20" s="8" t="str">
        <f t="shared" si="10"/>
        <v/>
      </c>
      <c r="S20" s="8">
        <f t="shared" si="11"/>
        <v>123</v>
      </c>
      <c r="T20" s="8" t="str">
        <f t="shared" si="12"/>
        <v>Red</v>
      </c>
    </row>
    <row r="21" spans="1:20" ht="32" x14ac:dyDescent="0.2">
      <c r="A21" s="14">
        <v>45669</v>
      </c>
      <c r="B21" s="8" t="str">
        <f t="shared" si="0"/>
        <v>Quarter1</v>
      </c>
      <c r="C21" s="8" t="s">
        <v>268</v>
      </c>
      <c r="D21" s="8" t="str">
        <f t="shared" si="1"/>
        <v>CCJ</v>
      </c>
      <c r="E21" s="8" t="s">
        <v>269</v>
      </c>
      <c r="F21" s="8" t="s">
        <v>270</v>
      </c>
      <c r="G21" s="8" t="s">
        <v>39</v>
      </c>
      <c r="H21" s="8" t="str">
        <f t="shared" si="2"/>
        <v>Approach</v>
      </c>
      <c r="I21" s="8" t="s">
        <v>115</v>
      </c>
      <c r="J21" s="13" t="s">
        <v>285</v>
      </c>
      <c r="K21" s="13" t="str">
        <f t="shared" si="3"/>
        <v>CHIRAG PRAKASH VANWARI | Deviation Below Glideslope (&lt;1000 ft)</v>
      </c>
      <c r="L21" s="13" t="str">
        <f t="shared" si="4"/>
        <v>SANTOSH MAYUR RAYAN PALAKODETY | Deviation Below Glideslope (&lt;1000 ft)</v>
      </c>
      <c r="M21" s="13" t="str">
        <f t="shared" si="5"/>
        <v>CCJ | Deviation Below Glideslope (&lt;1000 ft)</v>
      </c>
      <c r="N21" s="8">
        <f t="shared" si="6"/>
        <v>3</v>
      </c>
      <c r="O21" s="8">
        <f t="shared" si="7"/>
        <v>1.46</v>
      </c>
      <c r="P21" s="8" t="str">
        <f t="shared" si="8"/>
        <v/>
      </c>
      <c r="Q21" s="8" t="str">
        <f t="shared" si="9"/>
        <v/>
      </c>
      <c r="R21" s="8" t="str">
        <f t="shared" si="10"/>
        <v/>
      </c>
      <c r="S21" s="8" t="str">
        <f t="shared" si="11"/>
        <v/>
      </c>
      <c r="T21" s="8" t="str">
        <f t="shared" si="12"/>
        <v>Red</v>
      </c>
    </row>
    <row r="22" spans="1:20" ht="32" x14ac:dyDescent="0.2">
      <c r="A22" s="14">
        <v>45671</v>
      </c>
      <c r="B22" s="8" t="str">
        <f t="shared" si="0"/>
        <v>Quarter1</v>
      </c>
      <c r="C22" s="8" t="s">
        <v>146</v>
      </c>
      <c r="D22" s="8" t="str">
        <f t="shared" si="1"/>
        <v>PNQ</v>
      </c>
      <c r="E22" s="8" t="s">
        <v>287</v>
      </c>
      <c r="F22" s="8" t="s">
        <v>288</v>
      </c>
      <c r="G22" s="8" t="s">
        <v>289</v>
      </c>
      <c r="H22" s="8" t="str">
        <f t="shared" si="2"/>
        <v>Approach</v>
      </c>
      <c r="I22" s="8" t="s">
        <v>115</v>
      </c>
      <c r="J22" s="13" t="s">
        <v>295</v>
      </c>
      <c r="K22" s="13" t="str">
        <f t="shared" si="3"/>
        <v>RAJIV MOHAN | Pitch Attitude Low at Landing</v>
      </c>
      <c r="L22" s="13" t="str">
        <f t="shared" si="4"/>
        <v>RAKSHITA MALIK | Pitch Attitude Low at Landing</v>
      </c>
      <c r="M22" s="13" t="str">
        <f t="shared" si="5"/>
        <v>PNQ | Pitch Attitude Low at Landing</v>
      </c>
      <c r="N22" s="8" t="str">
        <f t="shared" si="6"/>
        <v/>
      </c>
      <c r="O22" s="8" t="str">
        <f t="shared" si="7"/>
        <v/>
      </c>
      <c r="P22" s="8" t="str">
        <f t="shared" si="8"/>
        <v/>
      </c>
      <c r="Q22" s="8" t="str">
        <f t="shared" si="9"/>
        <v/>
      </c>
      <c r="R22" s="8" t="str">
        <f t="shared" si="10"/>
        <v/>
      </c>
      <c r="S22" s="8" t="str">
        <f t="shared" si="11"/>
        <v/>
      </c>
      <c r="T22" s="8" t="str">
        <f t="shared" si="12"/>
        <v>Red</v>
      </c>
    </row>
    <row r="23" spans="1:20" ht="16" x14ac:dyDescent="0.2">
      <c r="A23" s="14">
        <v>45673</v>
      </c>
      <c r="B23" s="8" t="str">
        <f t="shared" si="0"/>
        <v>Quarter1</v>
      </c>
      <c r="C23" s="8" t="s">
        <v>41</v>
      </c>
      <c r="D23" s="8" t="str">
        <f t="shared" si="1"/>
        <v>DEL</v>
      </c>
      <c r="E23" s="8" t="s">
        <v>303</v>
      </c>
      <c r="F23" s="8" t="s">
        <v>304</v>
      </c>
      <c r="G23" s="8" t="s">
        <v>27</v>
      </c>
      <c r="H23" s="8" t="str">
        <f t="shared" si="2"/>
        <v>Approach</v>
      </c>
      <c r="I23" s="8" t="s">
        <v>157</v>
      </c>
      <c r="J23" s="13" t="s">
        <v>307</v>
      </c>
      <c r="K23" s="13" t="str">
        <f t="shared" si="3"/>
        <v>AMALENDU | Go around</v>
      </c>
      <c r="L23" s="13" t="str">
        <f t="shared" si="4"/>
        <v>SANDEEP PHUTELA | Go around</v>
      </c>
      <c r="M23" s="13" t="str">
        <f t="shared" si="5"/>
        <v>DEL | Go around</v>
      </c>
      <c r="N23" s="8" t="str">
        <f t="shared" si="6"/>
        <v/>
      </c>
      <c r="O23" s="8" t="str">
        <f t="shared" si="7"/>
        <v/>
      </c>
      <c r="P23" s="8" t="str">
        <f t="shared" si="8"/>
        <v/>
      </c>
      <c r="Q23" s="8" t="str">
        <f t="shared" si="9"/>
        <v/>
      </c>
      <c r="R23" s="8" t="str">
        <f t="shared" si="10"/>
        <v/>
      </c>
      <c r="S23" s="8">
        <f t="shared" si="11"/>
        <v>24</v>
      </c>
      <c r="T23" s="8" t="str">
        <f t="shared" si="12"/>
        <v>Red</v>
      </c>
    </row>
    <row r="24" spans="1:20" ht="16" x14ac:dyDescent="0.2">
      <c r="A24" s="14">
        <v>45675</v>
      </c>
      <c r="B24" s="8" t="str">
        <f t="shared" si="0"/>
        <v>Quarter1</v>
      </c>
      <c r="C24" s="8" t="s">
        <v>240</v>
      </c>
      <c r="D24" s="8" t="str">
        <f t="shared" si="1"/>
        <v>GOX</v>
      </c>
      <c r="E24" s="8" t="s">
        <v>308</v>
      </c>
      <c r="F24" s="8" t="s">
        <v>77</v>
      </c>
      <c r="G24" s="8" t="s">
        <v>27</v>
      </c>
      <c r="H24" s="8" t="str">
        <f t="shared" si="2"/>
        <v>Approach</v>
      </c>
      <c r="I24" s="8" t="s">
        <v>157</v>
      </c>
      <c r="J24" s="13" t="s">
        <v>317</v>
      </c>
      <c r="K24" s="13" t="str">
        <f t="shared" si="3"/>
        <v>ASHEESH GUPTA | Go around</v>
      </c>
      <c r="L24" s="13" t="str">
        <f t="shared" si="4"/>
        <v>NANCY NAYYAR | Go around</v>
      </c>
      <c r="M24" s="13" t="str">
        <f t="shared" si="5"/>
        <v>GOX | Go around</v>
      </c>
      <c r="N24" s="8" t="str">
        <f t="shared" si="6"/>
        <v/>
      </c>
      <c r="O24" s="8" t="str">
        <f t="shared" si="7"/>
        <v/>
      </c>
      <c r="P24" s="8" t="str">
        <f t="shared" si="8"/>
        <v/>
      </c>
      <c r="Q24" s="8" t="str">
        <f t="shared" si="9"/>
        <v/>
      </c>
      <c r="R24" s="8" t="str">
        <f t="shared" si="10"/>
        <v/>
      </c>
      <c r="S24" s="8">
        <f t="shared" si="11"/>
        <v>158</v>
      </c>
      <c r="T24" s="8" t="str">
        <f t="shared" si="12"/>
        <v>Red</v>
      </c>
    </row>
    <row r="25" spans="1:20" ht="16" x14ac:dyDescent="0.2">
      <c r="A25" s="14">
        <v>45674</v>
      </c>
      <c r="B25" s="8" t="str">
        <f t="shared" si="0"/>
        <v>Quarter1</v>
      </c>
      <c r="C25" s="8" t="s">
        <v>111</v>
      </c>
      <c r="D25" s="8" t="str">
        <f t="shared" si="1"/>
        <v>SXR</v>
      </c>
      <c r="E25" s="8" t="s">
        <v>112</v>
      </c>
      <c r="F25" s="8" t="s">
        <v>325</v>
      </c>
      <c r="G25" s="8" t="s">
        <v>326</v>
      </c>
      <c r="H25" s="8" t="str">
        <f t="shared" si="2"/>
        <v>Approach</v>
      </c>
      <c r="I25" s="8" t="s">
        <v>203</v>
      </c>
      <c r="J25" s="13" t="s">
        <v>328</v>
      </c>
      <c r="K25" s="13" t="str">
        <f t="shared" si="3"/>
        <v>ANAND MURTHY TIWARI | Max Landing Weight</v>
      </c>
      <c r="L25" s="13" t="str">
        <f t="shared" si="4"/>
        <v>SAURABH SHAHI | Max Landing Weight</v>
      </c>
      <c r="M25" s="13" t="str">
        <f t="shared" si="5"/>
        <v>SXR | Max Landing Weight</v>
      </c>
      <c r="N25" s="8" t="str">
        <f t="shared" si="6"/>
        <v/>
      </c>
      <c r="O25" s="8" t="str">
        <f t="shared" si="7"/>
        <v/>
      </c>
      <c r="P25" s="8" t="str">
        <f t="shared" si="8"/>
        <v/>
      </c>
      <c r="Q25" s="8" t="str">
        <f t="shared" si="9"/>
        <v/>
      </c>
      <c r="R25" s="8" t="str">
        <f t="shared" si="10"/>
        <v/>
      </c>
      <c r="S25" s="8" t="str">
        <f t="shared" si="11"/>
        <v/>
      </c>
      <c r="T25" s="8" t="str">
        <f t="shared" si="12"/>
        <v>Red</v>
      </c>
    </row>
    <row r="26" spans="1:20" ht="48" x14ac:dyDescent="0.2">
      <c r="A26" s="12">
        <v>45680</v>
      </c>
      <c r="B26" s="8" t="str">
        <f t="shared" si="0"/>
        <v>Quarter1</v>
      </c>
      <c r="C26" s="13" t="s">
        <v>341</v>
      </c>
      <c r="D26" s="8" t="str">
        <f t="shared" si="1"/>
        <v>BOM</v>
      </c>
      <c r="E26" s="13" t="s">
        <v>342</v>
      </c>
      <c r="F26" s="13" t="s">
        <v>343</v>
      </c>
      <c r="G26" s="13" t="s">
        <v>84</v>
      </c>
      <c r="H26" s="8" t="str">
        <f t="shared" si="2"/>
        <v>Approach</v>
      </c>
      <c r="I26" s="13" t="s">
        <v>115</v>
      </c>
      <c r="J26" s="13" t="s">
        <v>351</v>
      </c>
      <c r="K26" s="13" t="str">
        <f t="shared" si="3"/>
        <v>TANMAY GANESH KELUSKAR | Flap 30 Speed Exceeded</v>
      </c>
      <c r="L26" s="13" t="str">
        <f t="shared" si="4"/>
        <v>YUNUSAHMED MUHAMMADFARUK KHARADI | Flap 30 Speed Exceeded</v>
      </c>
      <c r="M26" s="13" t="str">
        <f t="shared" si="5"/>
        <v>BOM | Flap 30 Speed Exceeded</v>
      </c>
      <c r="N26" s="8">
        <f t="shared" si="6"/>
        <v>4</v>
      </c>
      <c r="O26" s="8" t="str">
        <f t="shared" si="7"/>
        <v/>
      </c>
      <c r="P26" s="8">
        <f t="shared" si="8"/>
        <v>130</v>
      </c>
      <c r="Q26" s="8" t="str">
        <f t="shared" si="9"/>
        <v/>
      </c>
      <c r="R26" s="8" t="str">
        <f t="shared" si="10"/>
        <v/>
      </c>
      <c r="S26" s="8" t="str">
        <f t="shared" si="11"/>
        <v/>
      </c>
      <c r="T26" s="8" t="str">
        <f t="shared" si="12"/>
        <v>Red</v>
      </c>
    </row>
    <row r="27" spans="1:20" ht="32" x14ac:dyDescent="0.2">
      <c r="A27" s="12">
        <v>45680</v>
      </c>
      <c r="B27" s="8" t="str">
        <f t="shared" si="0"/>
        <v>Quarter1</v>
      </c>
      <c r="C27" s="13" t="s">
        <v>341</v>
      </c>
      <c r="D27" s="8" t="str">
        <f t="shared" si="1"/>
        <v>BOM</v>
      </c>
      <c r="E27" s="13" t="s">
        <v>342</v>
      </c>
      <c r="F27" s="13" t="s">
        <v>343</v>
      </c>
      <c r="G27" s="13" t="s">
        <v>24</v>
      </c>
      <c r="H27" s="8" t="str">
        <f t="shared" si="2"/>
        <v>Approach</v>
      </c>
      <c r="I27" s="13" t="s">
        <v>115</v>
      </c>
      <c r="J27" s="13" t="s">
        <v>352</v>
      </c>
      <c r="K27" s="13" t="str">
        <f t="shared" si="3"/>
        <v>TANMAY GANESH KELUSKAR | High Rate of Descent (500-100 ft)</v>
      </c>
      <c r="L27" s="13" t="str">
        <f t="shared" si="4"/>
        <v>YUNUSAHMED MUHAMMADFARUK KHARADI | High Rate of Descent (500-100 ft)</v>
      </c>
      <c r="M27" s="13" t="str">
        <f t="shared" si="5"/>
        <v>BOM | High Rate of Descent (500-100 ft)</v>
      </c>
      <c r="N27" s="8" t="str">
        <f t="shared" si="6"/>
        <v/>
      </c>
      <c r="O27" s="8" t="str">
        <f t="shared" si="7"/>
        <v/>
      </c>
      <c r="P27" s="8">
        <f t="shared" si="8"/>
        <v>276</v>
      </c>
      <c r="Q27" s="8" t="str">
        <f t="shared" si="9"/>
        <v/>
      </c>
      <c r="R27" s="8">
        <f t="shared" si="10"/>
        <v>1230</v>
      </c>
      <c r="S27" s="8" t="str">
        <f t="shared" si="11"/>
        <v/>
      </c>
      <c r="T27" s="8" t="str">
        <f t="shared" si="12"/>
        <v>Red</v>
      </c>
    </row>
    <row r="28" spans="1:20" ht="32" x14ac:dyDescent="0.2">
      <c r="A28" s="12">
        <v>45680</v>
      </c>
      <c r="B28" s="8" t="str">
        <f t="shared" si="0"/>
        <v>Quarter1</v>
      </c>
      <c r="C28" s="13" t="s">
        <v>341</v>
      </c>
      <c r="D28" s="8" t="str">
        <f t="shared" si="1"/>
        <v>BOM</v>
      </c>
      <c r="E28" s="13" t="s">
        <v>342</v>
      </c>
      <c r="F28" s="13" t="s">
        <v>343</v>
      </c>
      <c r="G28" s="13" t="s">
        <v>24</v>
      </c>
      <c r="H28" s="8" t="str">
        <f t="shared" si="2"/>
        <v>Approach</v>
      </c>
      <c r="I28" s="13" t="s">
        <v>115</v>
      </c>
      <c r="J28" s="13" t="s">
        <v>353</v>
      </c>
      <c r="K28" s="13" t="str">
        <f t="shared" si="3"/>
        <v>TANMAY GANESH KELUSKAR | High Rate of Descent (500-100 ft)</v>
      </c>
      <c r="L28" s="13" t="str">
        <f t="shared" si="4"/>
        <v>YUNUSAHMED MUHAMMADFARUK KHARADI | High Rate of Descent (500-100 ft)</v>
      </c>
      <c r="M28" s="13" t="str">
        <f t="shared" si="5"/>
        <v>BOM | High Rate of Descent (500-100 ft)</v>
      </c>
      <c r="N28" s="8">
        <f t="shared" si="6"/>
        <v>5</v>
      </c>
      <c r="O28" s="8" t="str">
        <f t="shared" si="7"/>
        <v/>
      </c>
      <c r="P28" s="8">
        <f t="shared" si="8"/>
        <v>494</v>
      </c>
      <c r="Q28" s="8" t="str">
        <f t="shared" si="9"/>
        <v/>
      </c>
      <c r="R28" s="8">
        <f t="shared" si="10"/>
        <v>1320</v>
      </c>
      <c r="S28" s="8" t="str">
        <f t="shared" si="11"/>
        <v/>
      </c>
      <c r="T28" s="8" t="str">
        <f t="shared" si="12"/>
        <v>Red</v>
      </c>
    </row>
    <row r="29" spans="1:20" ht="16" x14ac:dyDescent="0.2">
      <c r="A29" s="14">
        <v>45680</v>
      </c>
      <c r="B29" s="8" t="str">
        <f t="shared" si="0"/>
        <v>Quarter1</v>
      </c>
      <c r="C29" s="8" t="s">
        <v>347</v>
      </c>
      <c r="D29" s="8" t="str">
        <f t="shared" si="1"/>
        <v>CCU</v>
      </c>
      <c r="E29" s="8" t="s">
        <v>287</v>
      </c>
      <c r="F29" s="8" t="s">
        <v>348</v>
      </c>
      <c r="G29" s="8" t="s">
        <v>344</v>
      </c>
      <c r="H29" s="8" t="str">
        <f t="shared" si="2"/>
        <v>Approach</v>
      </c>
      <c r="I29" s="8" t="s">
        <v>157</v>
      </c>
      <c r="J29" s="13" t="s">
        <v>354</v>
      </c>
      <c r="K29" s="13" t="str">
        <f t="shared" si="3"/>
        <v>RAJIV MOHAN | Go around 1st</v>
      </c>
      <c r="L29" s="13" t="str">
        <f t="shared" si="4"/>
        <v>KARAN MALHOTRA | Go around 1st</v>
      </c>
      <c r="M29" s="13" t="str">
        <f t="shared" si="5"/>
        <v>CCU | Go around 1st</v>
      </c>
      <c r="N29" s="8" t="str">
        <f t="shared" si="6"/>
        <v/>
      </c>
      <c r="O29" s="8" t="str">
        <f t="shared" si="7"/>
        <v/>
      </c>
      <c r="P29" s="8" t="str">
        <f t="shared" si="8"/>
        <v/>
      </c>
      <c r="Q29" s="8" t="str">
        <f t="shared" si="9"/>
        <v/>
      </c>
      <c r="R29" s="8" t="str">
        <f t="shared" si="10"/>
        <v/>
      </c>
      <c r="S29" s="8">
        <f t="shared" si="11"/>
        <v>110</v>
      </c>
      <c r="T29" s="8" t="str">
        <f t="shared" si="12"/>
        <v>Red</v>
      </c>
    </row>
    <row r="30" spans="1:20" ht="16" x14ac:dyDescent="0.2">
      <c r="A30" s="14">
        <v>45680</v>
      </c>
      <c r="B30" s="8" t="str">
        <f t="shared" si="0"/>
        <v>Quarter1</v>
      </c>
      <c r="C30" s="8" t="s">
        <v>347</v>
      </c>
      <c r="D30" s="8" t="str">
        <f t="shared" si="1"/>
        <v>CCU</v>
      </c>
      <c r="E30" s="8" t="s">
        <v>287</v>
      </c>
      <c r="F30" s="8" t="s">
        <v>348</v>
      </c>
      <c r="G30" s="8" t="s">
        <v>345</v>
      </c>
      <c r="H30" s="8" t="str">
        <f t="shared" si="2"/>
        <v>Approach</v>
      </c>
      <c r="I30" s="8" t="s">
        <v>157</v>
      </c>
      <c r="J30" s="13" t="s">
        <v>355</v>
      </c>
      <c r="K30" s="13" t="str">
        <f t="shared" si="3"/>
        <v>RAJIV MOHAN | Go around 2nd</v>
      </c>
      <c r="L30" s="13" t="str">
        <f t="shared" si="4"/>
        <v>KARAN MALHOTRA | Go around 2nd</v>
      </c>
      <c r="M30" s="13" t="str">
        <f t="shared" si="5"/>
        <v>CCU | Go around 2nd</v>
      </c>
      <c r="N30" s="8" t="str">
        <f t="shared" si="6"/>
        <v/>
      </c>
      <c r="O30" s="8" t="str">
        <f t="shared" si="7"/>
        <v/>
      </c>
      <c r="P30" s="8" t="str">
        <f t="shared" si="8"/>
        <v/>
      </c>
      <c r="Q30" s="8" t="str">
        <f t="shared" si="9"/>
        <v/>
      </c>
      <c r="R30" s="8" t="str">
        <f t="shared" si="10"/>
        <v/>
      </c>
      <c r="S30" s="8">
        <f t="shared" si="11"/>
        <v>352</v>
      </c>
      <c r="T30" s="8" t="str">
        <f t="shared" si="12"/>
        <v>Red</v>
      </c>
    </row>
    <row r="31" spans="1:20" ht="16" x14ac:dyDescent="0.2">
      <c r="A31" s="14">
        <v>45679</v>
      </c>
      <c r="B31" s="8" t="str">
        <f t="shared" si="0"/>
        <v>Quarter1</v>
      </c>
      <c r="C31" s="8" t="s">
        <v>360</v>
      </c>
      <c r="D31" s="8" t="str">
        <f t="shared" si="1"/>
        <v>VNS</v>
      </c>
      <c r="E31" s="8" t="s">
        <v>361</v>
      </c>
      <c r="F31" s="8" t="s">
        <v>195</v>
      </c>
      <c r="G31" s="8" t="s">
        <v>38</v>
      </c>
      <c r="H31" s="8" t="str">
        <f t="shared" si="2"/>
        <v>Approach</v>
      </c>
      <c r="I31" s="8" t="s">
        <v>115</v>
      </c>
      <c r="J31" s="13" t="s">
        <v>369</v>
      </c>
      <c r="K31" s="13" t="str">
        <f t="shared" si="3"/>
        <v>SNEHA SHEKHAWAT | GPWS (GLIDESLOPE)</v>
      </c>
      <c r="L31" s="13" t="str">
        <f t="shared" si="4"/>
        <v>SAMEL MAKHIJA | GPWS (GLIDESLOPE)</v>
      </c>
      <c r="M31" s="13" t="str">
        <f t="shared" si="5"/>
        <v>VNS | GPWS (GLIDESLOPE)</v>
      </c>
      <c r="N31" s="8">
        <f t="shared" si="6"/>
        <v>1</v>
      </c>
      <c r="O31" s="8" t="str">
        <f t="shared" si="7"/>
        <v/>
      </c>
      <c r="P31" s="8" t="str">
        <f t="shared" si="8"/>
        <v/>
      </c>
      <c r="Q31" s="8" t="str">
        <f t="shared" si="9"/>
        <v/>
      </c>
      <c r="R31" s="8" t="str">
        <f t="shared" si="10"/>
        <v/>
      </c>
      <c r="S31" s="8" t="str">
        <f t="shared" si="11"/>
        <v/>
      </c>
      <c r="T31" s="8" t="str">
        <f t="shared" si="12"/>
        <v>Red</v>
      </c>
    </row>
    <row r="32" spans="1:20" ht="32" x14ac:dyDescent="0.2">
      <c r="A32" s="14">
        <v>45679</v>
      </c>
      <c r="B32" s="8" t="str">
        <f t="shared" si="0"/>
        <v>Quarter1</v>
      </c>
      <c r="C32" s="8" t="s">
        <v>360</v>
      </c>
      <c r="D32" s="8" t="str">
        <f t="shared" si="1"/>
        <v>VNS</v>
      </c>
      <c r="E32" s="8" t="s">
        <v>361</v>
      </c>
      <c r="F32" s="8" t="s">
        <v>195</v>
      </c>
      <c r="G32" s="8" t="s">
        <v>39</v>
      </c>
      <c r="H32" s="8" t="str">
        <f t="shared" si="2"/>
        <v>Approach</v>
      </c>
      <c r="I32" s="8" t="s">
        <v>115</v>
      </c>
      <c r="J32" s="13" t="s">
        <v>370</v>
      </c>
      <c r="K32" s="13" t="str">
        <f t="shared" si="3"/>
        <v>SNEHA SHEKHAWAT | Deviation Below Glideslope (&lt;1000 ft)</v>
      </c>
      <c r="L32" s="13" t="str">
        <f t="shared" si="4"/>
        <v>SAMEL MAKHIJA | Deviation Below Glideslope (&lt;1000 ft)</v>
      </c>
      <c r="M32" s="13" t="str">
        <f t="shared" si="5"/>
        <v>VNS | Deviation Below Glideslope (&lt;1000 ft)</v>
      </c>
      <c r="N32" s="8">
        <f t="shared" si="6"/>
        <v>8</v>
      </c>
      <c r="O32" s="8">
        <f t="shared" si="7"/>
        <v>1.3</v>
      </c>
      <c r="P32" s="8" t="str">
        <f t="shared" si="8"/>
        <v/>
      </c>
      <c r="Q32" s="8" t="str">
        <f t="shared" si="9"/>
        <v/>
      </c>
      <c r="R32" s="8" t="str">
        <f t="shared" si="10"/>
        <v/>
      </c>
      <c r="S32" s="8" t="str">
        <f t="shared" si="11"/>
        <v/>
      </c>
      <c r="T32" s="8" t="str">
        <f t="shared" si="12"/>
        <v>Red</v>
      </c>
    </row>
    <row r="33" spans="1:20" ht="32" x14ac:dyDescent="0.2">
      <c r="A33" s="14">
        <v>45677</v>
      </c>
      <c r="B33" s="8" t="str">
        <f t="shared" si="0"/>
        <v>Quarter1</v>
      </c>
      <c r="C33" s="8" t="s">
        <v>363</v>
      </c>
      <c r="D33" s="8" t="str">
        <f t="shared" si="1"/>
        <v>PNQ</v>
      </c>
      <c r="E33" s="8" t="s">
        <v>364</v>
      </c>
      <c r="F33" s="8" t="s">
        <v>365</v>
      </c>
      <c r="G33" s="8" t="s">
        <v>53</v>
      </c>
      <c r="H33" s="8" t="str">
        <f t="shared" si="2"/>
        <v>Approach</v>
      </c>
      <c r="I33" s="8" t="s">
        <v>115</v>
      </c>
      <c r="J33" s="13" t="s">
        <v>372</v>
      </c>
      <c r="K33" s="13" t="str">
        <f t="shared" si="3"/>
        <v>ADITYA KOLHATKAR | Low Rate of Descent (&lt;1000 ft)</v>
      </c>
      <c r="L33" s="13" t="str">
        <f t="shared" si="4"/>
        <v>SIDDHARTHA MOHAN | Low Rate of Descent (&lt;1000 ft)</v>
      </c>
      <c r="M33" s="13" t="str">
        <f t="shared" si="5"/>
        <v>PNQ | Low Rate of Descent (&lt;1000 ft)</v>
      </c>
      <c r="N33" s="8">
        <f t="shared" si="6"/>
        <v>10</v>
      </c>
      <c r="O33" s="8" t="str">
        <f t="shared" si="7"/>
        <v/>
      </c>
      <c r="P33" s="8" t="str">
        <f t="shared" si="8"/>
        <v/>
      </c>
      <c r="Q33" s="8" t="str">
        <f t="shared" si="9"/>
        <v/>
      </c>
      <c r="R33" s="8" t="str">
        <f t="shared" si="10"/>
        <v/>
      </c>
      <c r="S33" s="8" t="str">
        <f t="shared" si="11"/>
        <v/>
      </c>
      <c r="T33" s="8" t="str">
        <f t="shared" si="12"/>
        <v>Red</v>
      </c>
    </row>
    <row r="34" spans="1:20" ht="32" x14ac:dyDescent="0.2">
      <c r="A34" s="14">
        <v>45682</v>
      </c>
      <c r="B34" s="8" t="str">
        <f t="shared" si="0"/>
        <v>Quarter1</v>
      </c>
      <c r="C34" s="8" t="s">
        <v>258</v>
      </c>
      <c r="D34" s="8" t="str">
        <f t="shared" si="1"/>
        <v>BLR</v>
      </c>
      <c r="E34" s="8" t="s">
        <v>378</v>
      </c>
      <c r="F34" s="8" t="s">
        <v>379</v>
      </c>
      <c r="G34" s="8" t="s">
        <v>53</v>
      </c>
      <c r="H34" s="8" t="str">
        <f t="shared" si="2"/>
        <v>Approach</v>
      </c>
      <c r="I34" s="8" t="s">
        <v>115</v>
      </c>
      <c r="J34" s="13" t="s">
        <v>394</v>
      </c>
      <c r="K34" s="13" t="str">
        <f t="shared" si="3"/>
        <v>ALKESH AJAYKUMAR NAIR | Low Rate of Descent (&lt;1000 ft)</v>
      </c>
      <c r="L34" s="13" t="str">
        <f t="shared" si="4"/>
        <v>SUPREET KAUR GILL | Low Rate of Descent (&lt;1000 ft)</v>
      </c>
      <c r="M34" s="13" t="str">
        <f t="shared" si="5"/>
        <v>BLR | Low Rate of Descent (&lt;1000 ft)</v>
      </c>
      <c r="N34" s="8">
        <f t="shared" si="6"/>
        <v>5</v>
      </c>
      <c r="O34" s="8" t="str">
        <f t="shared" si="7"/>
        <v/>
      </c>
      <c r="P34" s="8" t="str">
        <f t="shared" si="8"/>
        <v/>
      </c>
      <c r="Q34" s="8" t="str">
        <f t="shared" si="9"/>
        <v/>
      </c>
      <c r="R34" s="8" t="str">
        <f t="shared" si="10"/>
        <v/>
      </c>
      <c r="S34" s="8" t="str">
        <f t="shared" si="11"/>
        <v/>
      </c>
      <c r="T34" s="8" t="str">
        <f t="shared" si="12"/>
        <v>Red</v>
      </c>
    </row>
    <row r="35" spans="1:20" ht="48" x14ac:dyDescent="0.2">
      <c r="A35" s="14">
        <v>45684</v>
      </c>
      <c r="B35" s="8" t="str">
        <f t="shared" si="0"/>
        <v>Quarter1</v>
      </c>
      <c r="C35" s="8" t="s">
        <v>402</v>
      </c>
      <c r="D35" s="8" t="str">
        <f t="shared" si="1"/>
        <v>AMD</v>
      </c>
      <c r="E35" s="8" t="s">
        <v>378</v>
      </c>
      <c r="F35" s="8" t="s">
        <v>332</v>
      </c>
      <c r="G35" s="8" t="s">
        <v>403</v>
      </c>
      <c r="H35" s="8" t="str">
        <f t="shared" si="2"/>
        <v>Approach</v>
      </c>
      <c r="I35" s="8" t="s">
        <v>115</v>
      </c>
      <c r="J35" s="13" t="s">
        <v>406</v>
      </c>
      <c r="K35" s="13" t="str">
        <f t="shared" si="3"/>
        <v>ALKESH AJAYKUMAR NAIR | Late Thrust Reverser Deployment</v>
      </c>
      <c r="L35" s="13" t="str">
        <f t="shared" si="4"/>
        <v>ABHISHEK PANDURANG PHALKE | Late Thrust Reverser Deployment</v>
      </c>
      <c r="M35" s="13" t="str">
        <f t="shared" si="5"/>
        <v>AMD | Late Thrust Reverser Deployment</v>
      </c>
      <c r="N35" s="8">
        <f t="shared" si="6"/>
        <v>1</v>
      </c>
      <c r="O35" s="8" t="str">
        <f t="shared" si="7"/>
        <v/>
      </c>
      <c r="P35" s="8" t="str">
        <f t="shared" si="8"/>
        <v/>
      </c>
      <c r="Q35" s="8" t="str">
        <f t="shared" si="9"/>
        <v/>
      </c>
      <c r="R35" s="8" t="str">
        <f t="shared" si="10"/>
        <v/>
      </c>
      <c r="S35" s="8" t="str">
        <f t="shared" si="11"/>
        <v/>
      </c>
      <c r="T35" s="8" t="str">
        <f t="shared" si="12"/>
        <v>Red</v>
      </c>
    </row>
    <row r="36" spans="1:20" ht="32" x14ac:dyDescent="0.2">
      <c r="A36" s="14">
        <v>45687</v>
      </c>
      <c r="B36" s="8" t="str">
        <f t="shared" ref="B36:B71" si="13">"Quarter" &amp; INT((MONTH(A36)-1)/3)+1</f>
        <v>Quarter1</v>
      </c>
      <c r="C36" s="8" t="s">
        <v>373</v>
      </c>
      <c r="D36" s="8" t="str">
        <f t="shared" ref="D36:D71" si="14">IF(OR(
    ISNUMBER(SEARCH("Taxi", G36)),
    ISNUMBER(SEARCH("Take-off", G36)),
    ISNUMBER(SEARCH("Climb", G36))
),
    LEFT(C36, FIND("-", C36)-1),
    RIGHT(C36, LEN(C36) - FIND("-", C36))
)</f>
        <v>SXR</v>
      </c>
      <c r="E36" s="8" t="s">
        <v>300</v>
      </c>
      <c r="F36" s="8" t="s">
        <v>225</v>
      </c>
      <c r="G36" s="8" t="s">
        <v>24</v>
      </c>
      <c r="H36" s="8" t="str">
        <f t="shared" ref="H36:H71" si="15">IF(OR(ISNUMBER(SEARCH("Taxi", G36))), "Taxi",
 IF(OR(ISNUMBER(SEARCH("Take-off", G36)), ISNUMBER(SEARCH("Climb", G36)), ISNUMBER(SEARCH("Gear Retraction", G36)), ISNUMBER(SEARCH("Config Change", G36))), "Climb",
 IF(ISNUMBER(SEARCH("Cruise", G36)), "Cruise",
 "Approach")))</f>
        <v>Approach</v>
      </c>
      <c r="I36" s="8" t="s">
        <v>115</v>
      </c>
      <c r="J36" s="13" t="s">
        <v>415</v>
      </c>
      <c r="K36" s="13" t="str">
        <f t="shared" si="3"/>
        <v>ARVINDER SINGH | High Rate of Descent (500-100 ft)</v>
      </c>
      <c r="L36" s="13" t="str">
        <f t="shared" si="4"/>
        <v>VIKRAM  SINGH | High Rate of Descent (500-100 ft)</v>
      </c>
      <c r="M36" s="13" t="str">
        <f t="shared" si="5"/>
        <v>SXR | High Rate of Descent (500-100 ft)</v>
      </c>
      <c r="N36" s="8">
        <f t="shared" ref="N36:N71" si="16">IFERROR(VALUE(MID(J36,FIND("for ",J36)+4,FIND(" sec",J36)-FIND("for ",J36)-4)),"")</f>
        <v>4</v>
      </c>
      <c r="O36" s="8" t="str">
        <f t="shared" ref="O36:O71" si="17">IFERROR(VALUE(MID(J36,FIND("Max Deviation ",J36)+14,FIND(" at",J36)-FIND("Max Deviation ",J36)-14)),"")</f>
        <v/>
      </c>
      <c r="P36" s="8">
        <f t="shared" ref="P36:P71" si="18">IFERROR(VALUE(MID(J36,FIND("Altitude:",J36)+9,FIND(" ft",J36)-FIND("Altitude:",J36)-9)),"")</f>
        <v>187</v>
      </c>
      <c r="Q36" s="8" t="str">
        <f t="shared" ref="Q36:Q71" si="19">IFERROR(VALUE(MID(J36,FIND("Max CAS:",J36)+8,FIND(" kts",J36)-FIND("Max CAS:",J36)-8)),"")</f>
        <v/>
      </c>
      <c r="R36" s="8">
        <f t="shared" ref="R36:R71" si="20">IFERROR(VALUE(MID(J36,FIND("Max ROD:",J36)+8,FIND(" fpm",J36)-FIND("Max ROD:",J36)-8)),"")</f>
        <v>1200</v>
      </c>
      <c r="S36" s="8" t="str">
        <f t="shared" ref="S36:S71" si="21">IFERROR(VALUE(MID(J36,FIND("At ",J36)+3,FIND(" ft",J36)-FIND("At ",J36)-3)),"")</f>
        <v/>
      </c>
      <c r="T36" s="8" t="str">
        <f t="shared" ref="T36:T71" si="22">IF(I36="Information","Amber","Red")</f>
        <v>Red</v>
      </c>
    </row>
    <row r="37" spans="1:20" ht="16" x14ac:dyDescent="0.2">
      <c r="A37" s="14">
        <v>45688</v>
      </c>
      <c r="B37" s="8" t="str">
        <f t="shared" si="13"/>
        <v>Quarter1</v>
      </c>
      <c r="C37" s="8" t="s">
        <v>111</v>
      </c>
      <c r="D37" s="8" t="str">
        <f t="shared" si="14"/>
        <v>SXR</v>
      </c>
      <c r="E37" s="8" t="s">
        <v>274</v>
      </c>
      <c r="F37" s="8" t="s">
        <v>225</v>
      </c>
      <c r="G37" s="8" t="s">
        <v>424</v>
      </c>
      <c r="H37" s="8" t="str">
        <f t="shared" si="15"/>
        <v>Approach</v>
      </c>
      <c r="I37" s="8" t="s">
        <v>431</v>
      </c>
      <c r="J37" s="13" t="s">
        <v>431</v>
      </c>
      <c r="K37" s="13" t="str">
        <f t="shared" si="3"/>
        <v>SNEH DEEP | Thrust Reverser Not Deployed</v>
      </c>
      <c r="L37" s="13" t="str">
        <f t="shared" si="4"/>
        <v>VIKRAM  SINGH | Thrust Reverser Not Deployed</v>
      </c>
      <c r="M37" s="13" t="str">
        <f t="shared" si="5"/>
        <v>SXR | Thrust Reverser Not Deployed</v>
      </c>
      <c r="N37" s="8" t="str">
        <f t="shared" si="16"/>
        <v/>
      </c>
      <c r="O37" s="8" t="str">
        <f t="shared" si="17"/>
        <v/>
      </c>
      <c r="P37" s="8" t="str">
        <f t="shared" si="18"/>
        <v/>
      </c>
      <c r="Q37" s="8" t="str">
        <f t="shared" si="19"/>
        <v/>
      </c>
      <c r="R37" s="8" t="str">
        <f t="shared" si="20"/>
        <v/>
      </c>
      <c r="S37" s="8" t="str">
        <f t="shared" si="21"/>
        <v/>
      </c>
      <c r="T37" s="8" t="str">
        <f t="shared" si="22"/>
        <v>Red</v>
      </c>
    </row>
    <row r="38" spans="1:20" ht="16" x14ac:dyDescent="0.2">
      <c r="A38" s="14">
        <v>45688</v>
      </c>
      <c r="B38" s="8" t="str">
        <f t="shared" si="13"/>
        <v>Quarter1</v>
      </c>
      <c r="C38" s="8" t="s">
        <v>299</v>
      </c>
      <c r="D38" s="8" t="str">
        <f t="shared" si="14"/>
        <v>DEL</v>
      </c>
      <c r="E38" s="8" t="s">
        <v>274</v>
      </c>
      <c r="F38" s="8" t="s">
        <v>225</v>
      </c>
      <c r="G38" s="8" t="s">
        <v>424</v>
      </c>
      <c r="H38" s="8" t="str">
        <f t="shared" si="15"/>
        <v>Approach</v>
      </c>
      <c r="I38" s="8" t="s">
        <v>431</v>
      </c>
      <c r="J38" s="13" t="s">
        <v>431</v>
      </c>
      <c r="K38" s="13" t="str">
        <f t="shared" si="3"/>
        <v>SNEH DEEP | Thrust Reverser Not Deployed</v>
      </c>
      <c r="L38" s="13" t="str">
        <f t="shared" si="4"/>
        <v>VIKRAM  SINGH | Thrust Reverser Not Deployed</v>
      </c>
      <c r="M38" s="13" t="str">
        <f t="shared" si="5"/>
        <v>DEL | Thrust Reverser Not Deployed</v>
      </c>
      <c r="N38" s="8" t="str">
        <f t="shared" si="16"/>
        <v/>
      </c>
      <c r="O38" s="8" t="str">
        <f t="shared" si="17"/>
        <v/>
      </c>
      <c r="P38" s="8" t="str">
        <f t="shared" si="18"/>
        <v/>
      </c>
      <c r="Q38" s="8" t="str">
        <f t="shared" si="19"/>
        <v/>
      </c>
      <c r="R38" s="8" t="str">
        <f t="shared" si="20"/>
        <v/>
      </c>
      <c r="S38" s="8" t="str">
        <f t="shared" si="21"/>
        <v/>
      </c>
      <c r="T38" s="8" t="str">
        <f t="shared" si="22"/>
        <v>Red</v>
      </c>
    </row>
    <row r="39" spans="1:20" ht="48" x14ac:dyDescent="0.2">
      <c r="A39" s="14">
        <v>45688</v>
      </c>
      <c r="B39" s="8" t="str">
        <f t="shared" si="13"/>
        <v>Quarter1</v>
      </c>
      <c r="C39" s="8" t="s">
        <v>41</v>
      </c>
      <c r="D39" s="8" t="str">
        <f t="shared" si="14"/>
        <v>DEL</v>
      </c>
      <c r="E39" s="8" t="s">
        <v>374</v>
      </c>
      <c r="F39" s="8" t="s">
        <v>77</v>
      </c>
      <c r="G39" s="8" t="s">
        <v>403</v>
      </c>
      <c r="H39" s="8" t="str">
        <f t="shared" si="15"/>
        <v>Approach</v>
      </c>
      <c r="I39" s="8" t="s">
        <v>203</v>
      </c>
      <c r="J39" s="13" t="s">
        <v>426</v>
      </c>
      <c r="K39" s="13" t="str">
        <f t="shared" si="3"/>
        <v>HIMANI SAREEN | Late Thrust Reverser Deployment</v>
      </c>
      <c r="L39" s="13" t="str">
        <f t="shared" si="4"/>
        <v>NANCY NAYYAR | Late Thrust Reverser Deployment</v>
      </c>
      <c r="M39" s="13" t="str">
        <f t="shared" si="5"/>
        <v>DEL | Late Thrust Reverser Deployment</v>
      </c>
      <c r="N39" s="8">
        <f t="shared" si="16"/>
        <v>1</v>
      </c>
      <c r="O39" s="8" t="str">
        <f t="shared" si="17"/>
        <v/>
      </c>
      <c r="P39" s="8" t="str">
        <f t="shared" si="18"/>
        <v/>
      </c>
      <c r="Q39" s="8" t="str">
        <f t="shared" si="19"/>
        <v/>
      </c>
      <c r="R39" s="8" t="str">
        <f t="shared" si="20"/>
        <v/>
      </c>
      <c r="S39" s="8" t="str">
        <f t="shared" si="21"/>
        <v/>
      </c>
      <c r="T39" s="8" t="str">
        <f t="shared" si="22"/>
        <v>Red</v>
      </c>
    </row>
    <row r="40" spans="1:20" ht="32" x14ac:dyDescent="0.2">
      <c r="A40" s="14">
        <v>45688</v>
      </c>
      <c r="B40" s="8" t="str">
        <f t="shared" si="13"/>
        <v>Quarter1</v>
      </c>
      <c r="C40" s="8" t="s">
        <v>421</v>
      </c>
      <c r="D40" s="8" t="str">
        <f t="shared" si="14"/>
        <v>GOP</v>
      </c>
      <c r="E40" s="8" t="s">
        <v>420</v>
      </c>
      <c r="F40" s="8" t="s">
        <v>419</v>
      </c>
      <c r="G40" s="8" t="s">
        <v>39</v>
      </c>
      <c r="H40" s="8" t="str">
        <f t="shared" si="15"/>
        <v>Approach</v>
      </c>
      <c r="I40" s="8" t="s">
        <v>428</v>
      </c>
      <c r="J40" s="13" t="s">
        <v>427</v>
      </c>
      <c r="K40" s="13" t="str">
        <f t="shared" si="3"/>
        <v>PARITOSH KUMAR SINGH | Deviation Below Glideslope (&lt;1000 ft)</v>
      </c>
      <c r="L40" s="13" t="str">
        <f t="shared" si="4"/>
        <v>NIKHIL NARENDRA KOTHARI | Deviation Below Glideslope (&lt;1000 ft)</v>
      </c>
      <c r="M40" s="13" t="str">
        <f t="shared" si="5"/>
        <v>GOP | Deviation Below Glideslope (&lt;1000 ft)</v>
      </c>
      <c r="N40" s="8">
        <f t="shared" si="16"/>
        <v>5</v>
      </c>
      <c r="O40" s="8">
        <f t="shared" si="17"/>
        <v>1.18</v>
      </c>
      <c r="P40" s="8" t="str">
        <f t="shared" si="18"/>
        <v/>
      </c>
      <c r="Q40" s="8" t="str">
        <f t="shared" si="19"/>
        <v/>
      </c>
      <c r="R40" s="8" t="str">
        <f t="shared" si="20"/>
        <v/>
      </c>
      <c r="S40" s="8" t="str">
        <f t="shared" si="21"/>
        <v/>
      </c>
      <c r="T40" s="8" t="str">
        <f t="shared" si="22"/>
        <v>Red</v>
      </c>
    </row>
    <row r="41" spans="1:20" ht="32" x14ac:dyDescent="0.2">
      <c r="A41" s="14">
        <v>45689</v>
      </c>
      <c r="B41" s="8" t="str">
        <f t="shared" si="13"/>
        <v>Quarter1</v>
      </c>
      <c r="C41" s="8" t="s">
        <v>322</v>
      </c>
      <c r="D41" s="8" t="str">
        <f t="shared" si="14"/>
        <v>PAT</v>
      </c>
      <c r="E41" s="8" t="s">
        <v>432</v>
      </c>
      <c r="F41" s="8" t="s">
        <v>433</v>
      </c>
      <c r="G41" s="8" t="s">
        <v>39</v>
      </c>
      <c r="H41" s="8" t="str">
        <f t="shared" si="15"/>
        <v>Approach</v>
      </c>
      <c r="I41" s="8" t="s">
        <v>115</v>
      </c>
      <c r="J41" s="13" t="s">
        <v>435</v>
      </c>
      <c r="K41" s="13" t="str">
        <f t="shared" si="3"/>
        <v>SHAKTI SATYAKUMAR KAUSHAL | Deviation Below Glideslope (&lt;1000 ft)</v>
      </c>
      <c r="L41" s="13" t="str">
        <f t="shared" si="4"/>
        <v>NITISH SINGH | Deviation Below Glideslope (&lt;1000 ft)</v>
      </c>
      <c r="M41" s="13" t="str">
        <f t="shared" si="5"/>
        <v>PAT | Deviation Below Glideslope (&lt;1000 ft)</v>
      </c>
      <c r="N41" s="8">
        <f t="shared" si="16"/>
        <v>7</v>
      </c>
      <c r="O41" s="8">
        <f t="shared" si="17"/>
        <v>1.23</v>
      </c>
      <c r="P41" s="8" t="str">
        <f t="shared" si="18"/>
        <v/>
      </c>
      <c r="Q41" s="8" t="str">
        <f t="shared" si="19"/>
        <v/>
      </c>
      <c r="R41" s="8" t="str">
        <f t="shared" si="20"/>
        <v/>
      </c>
      <c r="S41" s="8" t="str">
        <f t="shared" si="21"/>
        <v/>
      </c>
      <c r="T41" s="8" t="str">
        <f t="shared" si="22"/>
        <v>Red</v>
      </c>
    </row>
    <row r="42" spans="1:20" ht="32" x14ac:dyDescent="0.2">
      <c r="A42" s="14">
        <v>45690</v>
      </c>
      <c r="B42" s="8" t="str">
        <f t="shared" si="13"/>
        <v>Quarter1</v>
      </c>
      <c r="C42" s="8" t="s">
        <v>299</v>
      </c>
      <c r="D42" s="8" t="str">
        <f t="shared" si="14"/>
        <v>DEL</v>
      </c>
      <c r="E42" s="8" t="s">
        <v>300</v>
      </c>
      <c r="F42" s="8" t="s">
        <v>301</v>
      </c>
      <c r="G42" s="8" t="s">
        <v>39</v>
      </c>
      <c r="H42" s="8" t="str">
        <f t="shared" si="15"/>
        <v>Approach</v>
      </c>
      <c r="I42" s="8" t="s">
        <v>115</v>
      </c>
      <c r="J42" s="13" t="s">
        <v>436</v>
      </c>
      <c r="K42" s="13" t="str">
        <f t="shared" si="3"/>
        <v>ARVINDER SINGH | Deviation Below Glideslope (&lt;1000 ft)</v>
      </c>
      <c r="L42" s="13" t="str">
        <f t="shared" si="4"/>
        <v>SAHIL SHARMA | Deviation Below Glideslope (&lt;1000 ft)</v>
      </c>
      <c r="M42" s="13" t="str">
        <f t="shared" si="5"/>
        <v>DEL | Deviation Below Glideslope (&lt;1000 ft)</v>
      </c>
      <c r="N42" s="8">
        <f t="shared" si="16"/>
        <v>9</v>
      </c>
      <c r="O42" s="8">
        <f t="shared" si="17"/>
        <v>1.32</v>
      </c>
      <c r="P42" s="8" t="str">
        <f t="shared" si="18"/>
        <v/>
      </c>
      <c r="Q42" s="8" t="str">
        <f t="shared" si="19"/>
        <v/>
      </c>
      <c r="R42" s="8" t="str">
        <f t="shared" si="20"/>
        <v/>
      </c>
      <c r="S42" s="8" t="str">
        <f t="shared" si="21"/>
        <v/>
      </c>
      <c r="T42" s="8" t="str">
        <f t="shared" si="22"/>
        <v>Red</v>
      </c>
    </row>
    <row r="43" spans="1:20" ht="16" x14ac:dyDescent="0.2">
      <c r="A43" s="14">
        <v>45691</v>
      </c>
      <c r="B43" s="8" t="str">
        <f t="shared" si="13"/>
        <v>Quarter1</v>
      </c>
      <c r="C43" s="8" t="s">
        <v>444</v>
      </c>
      <c r="D43" s="8" t="str">
        <f t="shared" si="14"/>
        <v>IXD</v>
      </c>
      <c r="E43" s="8" t="s">
        <v>432</v>
      </c>
      <c r="F43" s="8" t="s">
        <v>445</v>
      </c>
      <c r="G43" s="8" t="s">
        <v>27</v>
      </c>
      <c r="H43" s="8" t="str">
        <f t="shared" si="15"/>
        <v>Approach</v>
      </c>
      <c r="I43" s="8" t="s">
        <v>157</v>
      </c>
      <c r="J43" s="13" t="s">
        <v>449</v>
      </c>
      <c r="K43" s="13" t="str">
        <f t="shared" si="3"/>
        <v>SHAKTI SATYAKUMAR KAUSHAL | Go around</v>
      </c>
      <c r="L43" s="13" t="str">
        <f t="shared" si="4"/>
        <v>SHABNAM GAFOOR KHAN SARGUROH | Go around</v>
      </c>
      <c r="M43" s="13" t="str">
        <f t="shared" si="5"/>
        <v>IXD | Go around</v>
      </c>
      <c r="N43" s="8" t="str">
        <f t="shared" si="16"/>
        <v/>
      </c>
      <c r="O43" s="8" t="str">
        <f t="shared" si="17"/>
        <v/>
      </c>
      <c r="P43" s="8" t="str">
        <f t="shared" si="18"/>
        <v/>
      </c>
      <c r="Q43" s="8" t="str">
        <f t="shared" si="19"/>
        <v/>
      </c>
      <c r="R43" s="8" t="str">
        <f t="shared" si="20"/>
        <v/>
      </c>
      <c r="S43" s="8">
        <f t="shared" si="21"/>
        <v>1259</v>
      </c>
      <c r="T43" s="8" t="str">
        <f t="shared" si="22"/>
        <v>Red</v>
      </c>
    </row>
    <row r="44" spans="1:20" ht="48" x14ac:dyDescent="0.2">
      <c r="A44" s="14">
        <v>45691</v>
      </c>
      <c r="B44" s="8" t="str">
        <f t="shared" si="13"/>
        <v>Quarter1</v>
      </c>
      <c r="C44" s="8" t="s">
        <v>444</v>
      </c>
      <c r="D44" s="8" t="str">
        <f t="shared" si="14"/>
        <v>IXD</v>
      </c>
      <c r="E44" s="8" t="s">
        <v>432</v>
      </c>
      <c r="F44" s="8" t="s">
        <v>445</v>
      </c>
      <c r="G44" s="8" t="s">
        <v>447</v>
      </c>
      <c r="H44" s="8" t="str">
        <f t="shared" si="15"/>
        <v>Approach</v>
      </c>
      <c r="I44" s="8" t="s">
        <v>203</v>
      </c>
      <c r="J44" s="22" t="s">
        <v>450</v>
      </c>
      <c r="K44" s="13" t="str">
        <f t="shared" si="3"/>
        <v>SHAKTI SATYAKUMAR KAUSHAL | Flap Placard Speed Exceeded</v>
      </c>
      <c r="L44" s="13" t="str">
        <f t="shared" si="4"/>
        <v>SHABNAM GAFOOR KHAN SARGUROH | Flap Placard Speed Exceeded</v>
      </c>
      <c r="M44" s="13" t="str">
        <f t="shared" si="5"/>
        <v>IXD | Flap Placard Speed Exceeded</v>
      </c>
      <c r="N44" s="8">
        <f t="shared" si="16"/>
        <v>5</v>
      </c>
      <c r="O44" s="8" t="str">
        <f t="shared" si="17"/>
        <v/>
      </c>
      <c r="P44" s="8">
        <f t="shared" si="18"/>
        <v>1712</v>
      </c>
      <c r="Q44" s="8" t="str">
        <f t="shared" si="19"/>
        <v/>
      </c>
      <c r="R44" s="8" t="str">
        <f t="shared" si="20"/>
        <v/>
      </c>
      <c r="S44" s="8" t="str">
        <f t="shared" si="21"/>
        <v/>
      </c>
      <c r="T44" s="8" t="str">
        <f t="shared" si="22"/>
        <v>Red</v>
      </c>
    </row>
    <row r="45" spans="1:20" ht="32" x14ac:dyDescent="0.2">
      <c r="A45" s="14">
        <v>45692</v>
      </c>
      <c r="B45" s="8" t="str">
        <f t="shared" si="13"/>
        <v>Quarter1</v>
      </c>
      <c r="C45" s="8" t="s">
        <v>35</v>
      </c>
      <c r="D45" s="8" t="str">
        <f t="shared" si="14"/>
        <v>BOM</v>
      </c>
      <c r="E45" s="8" t="s">
        <v>448</v>
      </c>
      <c r="F45" s="8" t="s">
        <v>241</v>
      </c>
      <c r="G45" s="8" t="s">
        <v>39</v>
      </c>
      <c r="H45" s="8" t="str">
        <f t="shared" si="15"/>
        <v>Approach</v>
      </c>
      <c r="I45" s="8" t="s">
        <v>115</v>
      </c>
      <c r="J45" s="13" t="s">
        <v>451</v>
      </c>
      <c r="K45" s="13" t="str">
        <f t="shared" si="3"/>
        <v>AMAN  JAIN | Deviation Below Glideslope (&lt;1000 ft)</v>
      </c>
      <c r="L45" s="13" t="str">
        <f t="shared" si="4"/>
        <v>ANIL ARORA | Deviation Below Glideslope (&lt;1000 ft)</v>
      </c>
      <c r="M45" s="13" t="str">
        <f t="shared" si="5"/>
        <v>BOM | Deviation Below Glideslope (&lt;1000 ft)</v>
      </c>
      <c r="N45" s="8">
        <f t="shared" si="16"/>
        <v>5</v>
      </c>
      <c r="O45" s="8">
        <f t="shared" si="17"/>
        <v>1.1399999999999999</v>
      </c>
      <c r="P45" s="8" t="str">
        <f t="shared" si="18"/>
        <v/>
      </c>
      <c r="Q45" s="8" t="str">
        <f t="shared" si="19"/>
        <v/>
      </c>
      <c r="R45" s="8" t="str">
        <f t="shared" si="20"/>
        <v/>
      </c>
      <c r="S45" s="8" t="str">
        <f t="shared" si="21"/>
        <v/>
      </c>
      <c r="T45" s="8" t="str">
        <f t="shared" si="22"/>
        <v>Red</v>
      </c>
    </row>
    <row r="46" spans="1:20" ht="16" x14ac:dyDescent="0.2">
      <c r="A46" s="14">
        <v>45693</v>
      </c>
      <c r="B46" s="8" t="str">
        <f t="shared" si="13"/>
        <v>Quarter1</v>
      </c>
      <c r="C46" s="8" t="s">
        <v>444</v>
      </c>
      <c r="D46" s="8" t="str">
        <f t="shared" si="14"/>
        <v>IXD</v>
      </c>
      <c r="E46" s="8" t="s">
        <v>454</v>
      </c>
      <c r="F46" s="8" t="s">
        <v>389</v>
      </c>
      <c r="G46" s="8" t="s">
        <v>27</v>
      </c>
      <c r="H46" s="8" t="str">
        <f t="shared" si="15"/>
        <v>Approach</v>
      </c>
      <c r="I46" s="8" t="s">
        <v>157</v>
      </c>
      <c r="J46" s="13" t="s">
        <v>455</v>
      </c>
      <c r="K46" s="13" t="str">
        <f t="shared" si="3"/>
        <v>KUNAL HITEN PARIKH | Go around</v>
      </c>
      <c r="L46" s="13" t="str">
        <f t="shared" si="4"/>
        <v>SHRIKANT ANANT PATIL | Go around</v>
      </c>
      <c r="M46" s="13" t="str">
        <f t="shared" si="5"/>
        <v>IXD | Go around</v>
      </c>
      <c r="N46" s="8" t="str">
        <f t="shared" si="16"/>
        <v/>
      </c>
      <c r="O46" s="8" t="str">
        <f t="shared" si="17"/>
        <v/>
      </c>
      <c r="P46" s="8" t="str">
        <f t="shared" si="18"/>
        <v/>
      </c>
      <c r="Q46" s="8" t="str">
        <f t="shared" si="19"/>
        <v/>
      </c>
      <c r="R46" s="8" t="str">
        <f t="shared" si="20"/>
        <v/>
      </c>
      <c r="S46" s="8">
        <f t="shared" si="21"/>
        <v>71</v>
      </c>
      <c r="T46" s="8" t="str">
        <f t="shared" si="22"/>
        <v>Red</v>
      </c>
    </row>
    <row r="47" spans="1:20" ht="32" x14ac:dyDescent="0.2">
      <c r="A47" s="14">
        <v>45694</v>
      </c>
      <c r="B47" s="8" t="str">
        <f t="shared" si="13"/>
        <v>Quarter1</v>
      </c>
      <c r="C47" s="8" t="s">
        <v>258</v>
      </c>
      <c r="D47" s="8" t="str">
        <f t="shared" si="14"/>
        <v>BLR</v>
      </c>
      <c r="E47" s="8" t="s">
        <v>420</v>
      </c>
      <c r="F47" s="8" t="s">
        <v>325</v>
      </c>
      <c r="G47" s="8" t="s">
        <v>39</v>
      </c>
      <c r="H47" s="8" t="str">
        <f t="shared" si="15"/>
        <v>Approach</v>
      </c>
      <c r="I47" s="8" t="s">
        <v>115</v>
      </c>
      <c r="J47" s="13" t="s">
        <v>471</v>
      </c>
      <c r="K47" s="13" t="str">
        <f t="shared" si="3"/>
        <v>PARITOSH KUMAR SINGH | Deviation Below Glideslope (&lt;1000 ft)</v>
      </c>
      <c r="L47" s="13" t="str">
        <f t="shared" si="4"/>
        <v>SAURABH SHAHI | Deviation Below Glideslope (&lt;1000 ft)</v>
      </c>
      <c r="M47" s="13" t="str">
        <f t="shared" si="5"/>
        <v>BLR | Deviation Below Glideslope (&lt;1000 ft)</v>
      </c>
      <c r="N47" s="8">
        <f t="shared" si="16"/>
        <v>13</v>
      </c>
      <c r="O47" s="8">
        <f t="shared" si="17"/>
        <v>1.18</v>
      </c>
      <c r="P47" s="8" t="str">
        <f t="shared" si="18"/>
        <v/>
      </c>
      <c r="Q47" s="8" t="str">
        <f t="shared" si="19"/>
        <v/>
      </c>
      <c r="R47" s="8" t="str">
        <f t="shared" si="20"/>
        <v/>
      </c>
      <c r="S47" s="8" t="str">
        <f t="shared" si="21"/>
        <v/>
      </c>
      <c r="T47" s="8" t="str">
        <f t="shared" si="22"/>
        <v>Red</v>
      </c>
    </row>
    <row r="48" spans="1:20" ht="32" x14ac:dyDescent="0.2">
      <c r="A48" s="14">
        <v>45695</v>
      </c>
      <c r="B48" s="8" t="str">
        <f t="shared" si="13"/>
        <v>Quarter1</v>
      </c>
      <c r="C48" s="8" t="s">
        <v>465</v>
      </c>
      <c r="D48" s="8" t="str">
        <f t="shared" si="14"/>
        <v>DEL</v>
      </c>
      <c r="E48" s="8" t="s">
        <v>292</v>
      </c>
      <c r="F48" s="8" t="s">
        <v>113</v>
      </c>
      <c r="G48" s="8" t="s">
        <v>466</v>
      </c>
      <c r="H48" s="8" t="str">
        <f t="shared" si="15"/>
        <v>Approach</v>
      </c>
      <c r="I48" s="8" t="s">
        <v>115</v>
      </c>
      <c r="J48" s="13" t="s">
        <v>473</v>
      </c>
      <c r="K48" s="13" t="str">
        <f t="shared" si="3"/>
        <v>HARICHARAN SATYANARAYAN BANSAL | Approach Speed High (500- 50 ft)</v>
      </c>
      <c r="L48" s="13" t="str">
        <f t="shared" si="4"/>
        <v>ANUPAM SHARMA. | Approach Speed High (500- 50 ft)</v>
      </c>
      <c r="M48" s="13" t="str">
        <f t="shared" si="5"/>
        <v>DEL | Approach Speed High (500- 50 ft)</v>
      </c>
      <c r="N48" s="8">
        <f t="shared" si="16"/>
        <v>7</v>
      </c>
      <c r="O48" s="8" t="str">
        <f t="shared" si="17"/>
        <v/>
      </c>
      <c r="P48" s="8">
        <f t="shared" si="18"/>
        <v>396</v>
      </c>
      <c r="Q48" s="8">
        <f t="shared" si="19"/>
        <v>154.80000000000001</v>
      </c>
      <c r="R48" s="8" t="str">
        <f t="shared" si="20"/>
        <v/>
      </c>
      <c r="S48" s="8" t="str">
        <f t="shared" si="21"/>
        <v/>
      </c>
      <c r="T48" s="8" t="str">
        <f t="shared" si="22"/>
        <v>Red</v>
      </c>
    </row>
    <row r="49" spans="1:20" ht="48" x14ac:dyDescent="0.2">
      <c r="A49" s="14">
        <v>45700</v>
      </c>
      <c r="B49" s="8" t="str">
        <f t="shared" si="13"/>
        <v>Quarter1</v>
      </c>
      <c r="C49" s="8" t="s">
        <v>41</v>
      </c>
      <c r="D49" s="8" t="str">
        <f t="shared" si="14"/>
        <v>DEL</v>
      </c>
      <c r="E49" s="8" t="s">
        <v>485</v>
      </c>
      <c r="F49" s="8" t="s">
        <v>462</v>
      </c>
      <c r="G49" s="8" t="s">
        <v>403</v>
      </c>
      <c r="H49" s="8" t="str">
        <f t="shared" si="15"/>
        <v>Approach</v>
      </c>
      <c r="I49" s="8" t="s">
        <v>115</v>
      </c>
      <c r="J49" s="13" t="s">
        <v>489</v>
      </c>
      <c r="K49" s="13" t="str">
        <f t="shared" si="3"/>
        <v>MOHIT KUMAR | Late Thrust Reverser Deployment</v>
      </c>
      <c r="L49" s="13" t="str">
        <f t="shared" si="4"/>
        <v>RAJIB CHOWDHURY | Late Thrust Reverser Deployment</v>
      </c>
      <c r="M49" s="13" t="str">
        <f t="shared" si="5"/>
        <v>DEL | Late Thrust Reverser Deployment</v>
      </c>
      <c r="N49" s="8">
        <f t="shared" si="16"/>
        <v>14</v>
      </c>
      <c r="O49" s="8" t="str">
        <f t="shared" si="17"/>
        <v/>
      </c>
      <c r="P49" s="8" t="str">
        <f t="shared" si="18"/>
        <v/>
      </c>
      <c r="Q49" s="8" t="str">
        <f t="shared" si="19"/>
        <v/>
      </c>
      <c r="R49" s="8" t="str">
        <f t="shared" si="20"/>
        <v/>
      </c>
      <c r="S49" s="8" t="str">
        <f t="shared" si="21"/>
        <v/>
      </c>
      <c r="T49" s="8" t="str">
        <f t="shared" si="22"/>
        <v>Red</v>
      </c>
    </row>
    <row r="50" spans="1:20" ht="48" x14ac:dyDescent="0.2">
      <c r="A50" s="14">
        <v>45701</v>
      </c>
      <c r="B50" s="8" t="str">
        <f t="shared" si="13"/>
        <v>Quarter1</v>
      </c>
      <c r="C50" s="8" t="s">
        <v>111</v>
      </c>
      <c r="D50" s="8" t="str">
        <f t="shared" si="14"/>
        <v>SXR</v>
      </c>
      <c r="E50" s="8" t="s">
        <v>493</v>
      </c>
      <c r="F50" s="8" t="s">
        <v>375</v>
      </c>
      <c r="G50" s="8" t="s">
        <v>24</v>
      </c>
      <c r="H50" s="8" t="str">
        <f t="shared" si="15"/>
        <v>Approach</v>
      </c>
      <c r="I50" s="8" t="s">
        <v>115</v>
      </c>
      <c r="J50" s="13" t="s">
        <v>501</v>
      </c>
      <c r="K50" s="13" t="str">
        <f t="shared" si="3"/>
        <v>VINAY KUMAR SINGH | High Rate of Descent (500-100 ft)</v>
      </c>
      <c r="L50" s="13" t="str">
        <f t="shared" si="4"/>
        <v>ANKUR BALANA | High Rate of Descent (500-100 ft)</v>
      </c>
      <c r="M50" s="13" t="str">
        <f t="shared" si="5"/>
        <v>SXR | High Rate of Descent (500-100 ft)</v>
      </c>
      <c r="N50" s="8">
        <f t="shared" si="16"/>
        <v>4</v>
      </c>
      <c r="O50" s="8" t="str">
        <f t="shared" si="17"/>
        <v/>
      </c>
      <c r="P50" s="8" t="str">
        <f t="shared" si="18"/>
        <v/>
      </c>
      <c r="Q50" s="8" t="str">
        <f t="shared" si="19"/>
        <v/>
      </c>
      <c r="R50" s="8">
        <f t="shared" si="20"/>
        <v>1140</v>
      </c>
      <c r="S50" s="8" t="str">
        <f t="shared" si="21"/>
        <v/>
      </c>
      <c r="T50" s="8" t="str">
        <f t="shared" si="22"/>
        <v>Red</v>
      </c>
    </row>
    <row r="51" spans="1:20" ht="32" x14ac:dyDescent="0.2">
      <c r="A51" s="14">
        <v>45701</v>
      </c>
      <c r="B51" s="8" t="str">
        <f t="shared" si="13"/>
        <v>Quarter1</v>
      </c>
      <c r="C51" s="8" t="s">
        <v>188</v>
      </c>
      <c r="D51" s="8" t="str">
        <f t="shared" si="14"/>
        <v>PAT</v>
      </c>
      <c r="E51" s="8" t="s">
        <v>361</v>
      </c>
      <c r="F51" s="8" t="s">
        <v>494</v>
      </c>
      <c r="G51" s="8" t="s">
        <v>39</v>
      </c>
      <c r="H51" s="8" t="str">
        <f t="shared" si="15"/>
        <v>Approach</v>
      </c>
      <c r="I51" s="8" t="s">
        <v>115</v>
      </c>
      <c r="J51" s="13" t="s">
        <v>502</v>
      </c>
      <c r="K51" s="13" t="str">
        <f t="shared" si="3"/>
        <v>SNEHA SHEKHAWAT | Deviation Below Glideslope (&lt;1000 ft)</v>
      </c>
      <c r="L51" s="13" t="str">
        <f t="shared" si="4"/>
        <v>ASHLESH BAPURAO SHINDE | Deviation Below Glideslope (&lt;1000 ft)</v>
      </c>
      <c r="M51" s="13" t="str">
        <f t="shared" si="5"/>
        <v>PAT | Deviation Below Glideslope (&lt;1000 ft)</v>
      </c>
      <c r="N51" s="8">
        <f t="shared" si="16"/>
        <v>4</v>
      </c>
      <c r="O51" s="8">
        <f t="shared" si="17"/>
        <v>1.21</v>
      </c>
      <c r="P51" s="8" t="str">
        <f t="shared" si="18"/>
        <v/>
      </c>
      <c r="Q51" s="8" t="str">
        <f t="shared" si="19"/>
        <v/>
      </c>
      <c r="R51" s="8" t="str">
        <f t="shared" si="20"/>
        <v/>
      </c>
      <c r="S51" s="8" t="str">
        <f t="shared" si="21"/>
        <v/>
      </c>
      <c r="T51" s="8" t="str">
        <f t="shared" si="22"/>
        <v>Red</v>
      </c>
    </row>
    <row r="52" spans="1:20" ht="64" x14ac:dyDescent="0.2">
      <c r="A52" s="14">
        <v>45703</v>
      </c>
      <c r="B52" s="8" t="str">
        <f t="shared" si="13"/>
        <v>Quarter1</v>
      </c>
      <c r="C52" s="8" t="s">
        <v>95</v>
      </c>
      <c r="D52" s="8" t="str">
        <f t="shared" si="14"/>
        <v>DEL</v>
      </c>
      <c r="E52" s="8" t="s">
        <v>448</v>
      </c>
      <c r="F52" s="8" t="s">
        <v>507</v>
      </c>
      <c r="G52" s="8" t="s">
        <v>64</v>
      </c>
      <c r="H52" s="8" t="str">
        <f t="shared" si="15"/>
        <v>Approach</v>
      </c>
      <c r="I52" s="8" t="s">
        <v>203</v>
      </c>
      <c r="J52" s="22" t="s">
        <v>509</v>
      </c>
      <c r="K52" s="13" t="str">
        <f t="shared" si="3"/>
        <v>AMAN  JAIN | Long Landing</v>
      </c>
      <c r="L52" s="13" t="str">
        <f t="shared" si="4"/>
        <v>AKASH SANDHU | Long Landing</v>
      </c>
      <c r="M52" s="13" t="str">
        <f t="shared" si="5"/>
        <v>DEL | Long Landing</v>
      </c>
      <c r="N52" s="8" t="str">
        <f t="shared" si="16"/>
        <v/>
      </c>
      <c r="O52" s="8" t="str">
        <f t="shared" si="17"/>
        <v/>
      </c>
      <c r="P52" s="8" t="str">
        <f t="shared" si="18"/>
        <v/>
      </c>
      <c r="Q52" s="8" t="str">
        <f t="shared" si="19"/>
        <v/>
      </c>
      <c r="R52" s="8" t="str">
        <f t="shared" si="20"/>
        <v/>
      </c>
      <c r="S52" s="8">
        <f t="shared" si="21"/>
        <v>54</v>
      </c>
      <c r="T52" s="8" t="str">
        <f t="shared" si="22"/>
        <v>Red</v>
      </c>
    </row>
    <row r="53" spans="1:20" ht="16" x14ac:dyDescent="0.2">
      <c r="A53" s="14">
        <v>45703</v>
      </c>
      <c r="B53" s="8" t="str">
        <f t="shared" si="13"/>
        <v>Quarter1</v>
      </c>
      <c r="C53" s="8" t="s">
        <v>514</v>
      </c>
      <c r="D53" s="8" t="str">
        <f t="shared" si="14"/>
        <v>CCU</v>
      </c>
      <c r="E53" s="8" t="s">
        <v>515</v>
      </c>
      <c r="F53" s="8" t="s">
        <v>516</v>
      </c>
      <c r="G53" s="8" t="s">
        <v>242</v>
      </c>
      <c r="H53" s="8" t="str">
        <f t="shared" si="15"/>
        <v>Approach</v>
      </c>
      <c r="I53" s="8" t="s">
        <v>115</v>
      </c>
      <c r="J53" s="13" t="s">
        <v>523</v>
      </c>
      <c r="K53" s="13" t="str">
        <f t="shared" si="3"/>
        <v>OLYM ROY | GPWS (TERRAIN)</v>
      </c>
      <c r="L53" s="13" t="str">
        <f t="shared" si="4"/>
        <v>SUKANTA SARKAR | GPWS (TERRAIN)</v>
      </c>
      <c r="M53" s="13" t="str">
        <f t="shared" si="5"/>
        <v>CCU | GPWS (TERRAIN)</v>
      </c>
      <c r="N53" s="8" t="str">
        <f t="shared" si="16"/>
        <v/>
      </c>
      <c r="O53" s="8" t="str">
        <f t="shared" si="17"/>
        <v/>
      </c>
      <c r="P53" s="8">
        <f t="shared" si="18"/>
        <v>7164</v>
      </c>
      <c r="Q53" s="8" t="str">
        <f t="shared" si="19"/>
        <v/>
      </c>
      <c r="R53" s="8" t="str">
        <f t="shared" si="20"/>
        <v/>
      </c>
      <c r="S53" s="8" t="str">
        <f t="shared" si="21"/>
        <v/>
      </c>
      <c r="T53" s="8" t="str">
        <f t="shared" si="22"/>
        <v>Red</v>
      </c>
    </row>
    <row r="54" spans="1:20" ht="16" x14ac:dyDescent="0.2">
      <c r="A54" s="14">
        <v>45703</v>
      </c>
      <c r="B54" s="8" t="str">
        <f t="shared" si="13"/>
        <v>Quarter1</v>
      </c>
      <c r="C54" s="8" t="s">
        <v>514</v>
      </c>
      <c r="D54" s="8" t="str">
        <f t="shared" si="14"/>
        <v>CCU</v>
      </c>
      <c r="E54" s="8" t="s">
        <v>515</v>
      </c>
      <c r="F54" s="8" t="s">
        <v>516</v>
      </c>
      <c r="G54" s="8" t="s">
        <v>518</v>
      </c>
      <c r="H54" s="8" t="str">
        <f t="shared" si="15"/>
        <v>Approach</v>
      </c>
      <c r="I54" s="8" t="s">
        <v>115</v>
      </c>
      <c r="J54" s="13" t="s">
        <v>524</v>
      </c>
      <c r="K54" s="13" t="str">
        <f t="shared" si="3"/>
        <v>OLYM ROY | GPWS (PULL UP)</v>
      </c>
      <c r="L54" s="13" t="str">
        <f t="shared" si="4"/>
        <v>SUKANTA SARKAR | GPWS (PULL UP)</v>
      </c>
      <c r="M54" s="13" t="str">
        <f t="shared" si="5"/>
        <v>CCU | GPWS (PULL UP)</v>
      </c>
      <c r="N54" s="8">
        <f t="shared" si="16"/>
        <v>4</v>
      </c>
      <c r="O54" s="8" t="str">
        <f t="shared" si="17"/>
        <v/>
      </c>
      <c r="P54" s="8">
        <f t="shared" si="18"/>
        <v>7109</v>
      </c>
      <c r="Q54" s="8" t="str">
        <f t="shared" si="19"/>
        <v/>
      </c>
      <c r="R54" s="8" t="str">
        <f t="shared" si="20"/>
        <v/>
      </c>
      <c r="S54" s="8" t="str">
        <f t="shared" si="21"/>
        <v/>
      </c>
      <c r="T54" s="8" t="str">
        <f t="shared" si="22"/>
        <v>Red</v>
      </c>
    </row>
    <row r="55" spans="1:20" ht="16" x14ac:dyDescent="0.2">
      <c r="A55" s="14">
        <v>45704</v>
      </c>
      <c r="B55" s="8" t="str">
        <f t="shared" si="13"/>
        <v>Quarter1</v>
      </c>
      <c r="C55" s="8" t="s">
        <v>311</v>
      </c>
      <c r="D55" s="8" t="str">
        <f t="shared" si="14"/>
        <v>IXL</v>
      </c>
      <c r="E55" s="8" t="s">
        <v>224</v>
      </c>
      <c r="F55" s="8" t="s">
        <v>335</v>
      </c>
      <c r="G55" s="8" t="s">
        <v>27</v>
      </c>
      <c r="H55" s="8" t="str">
        <f t="shared" si="15"/>
        <v>Approach</v>
      </c>
      <c r="I55" s="8" t="s">
        <v>157</v>
      </c>
      <c r="J55" s="13" t="s">
        <v>525</v>
      </c>
      <c r="K55" s="13" t="str">
        <f t="shared" si="3"/>
        <v>VINAYDEEP BILHATIYA | Go around</v>
      </c>
      <c r="L55" s="13" t="str">
        <f t="shared" si="4"/>
        <v>PRITAM HINDUJA | Go around</v>
      </c>
      <c r="M55" s="13" t="str">
        <f t="shared" si="5"/>
        <v>IXL | Go around</v>
      </c>
      <c r="N55" s="8" t="str">
        <f t="shared" si="16"/>
        <v/>
      </c>
      <c r="O55" s="8" t="str">
        <f t="shared" si="17"/>
        <v/>
      </c>
      <c r="P55" s="8" t="str">
        <f t="shared" si="18"/>
        <v/>
      </c>
      <c r="Q55" s="8" t="str">
        <f t="shared" si="19"/>
        <v/>
      </c>
      <c r="R55" s="8" t="str">
        <f t="shared" si="20"/>
        <v/>
      </c>
      <c r="S55" s="8">
        <f t="shared" si="21"/>
        <v>384</v>
      </c>
      <c r="T55" s="8" t="str">
        <f t="shared" si="22"/>
        <v>Red</v>
      </c>
    </row>
    <row r="56" spans="1:20" ht="32" x14ac:dyDescent="0.2">
      <c r="A56" s="14">
        <v>45705</v>
      </c>
      <c r="B56" s="8" t="str">
        <f t="shared" si="13"/>
        <v>Quarter1</v>
      </c>
      <c r="C56" s="8" t="s">
        <v>311</v>
      </c>
      <c r="D56" s="8" t="str">
        <f t="shared" si="14"/>
        <v>IXL</v>
      </c>
      <c r="E56" s="8" t="s">
        <v>312</v>
      </c>
      <c r="F56" s="8" t="s">
        <v>301</v>
      </c>
      <c r="G56" s="8" t="s">
        <v>529</v>
      </c>
      <c r="H56" s="8" t="str">
        <f t="shared" si="15"/>
        <v>Approach</v>
      </c>
      <c r="I56" s="8" t="s">
        <v>115</v>
      </c>
      <c r="J56" s="13" t="s">
        <v>533</v>
      </c>
      <c r="K56" s="13" t="str">
        <f t="shared" si="3"/>
        <v>ASHISH JAYASWAL | Approach Speed High (500-50 ft)</v>
      </c>
      <c r="L56" s="13" t="str">
        <f t="shared" si="4"/>
        <v>SAHIL SHARMA | Approach Speed High (500-50 ft)</v>
      </c>
      <c r="M56" s="13" t="str">
        <f t="shared" si="5"/>
        <v>IXL | Approach Speed High (500-50 ft)</v>
      </c>
      <c r="N56" s="8">
        <f t="shared" si="16"/>
        <v>4</v>
      </c>
      <c r="O56" s="8" t="str">
        <f t="shared" si="17"/>
        <v/>
      </c>
      <c r="P56" s="8">
        <f t="shared" si="18"/>
        <v>10660</v>
      </c>
      <c r="Q56" s="8">
        <f t="shared" si="19"/>
        <v>158.30000000000001</v>
      </c>
      <c r="R56" s="8" t="str">
        <f t="shared" si="20"/>
        <v/>
      </c>
      <c r="S56" s="8" t="str">
        <f t="shared" si="21"/>
        <v/>
      </c>
      <c r="T56" s="8" t="str">
        <f t="shared" si="22"/>
        <v>Red</v>
      </c>
    </row>
    <row r="57" spans="1:20" ht="32" x14ac:dyDescent="0.2">
      <c r="A57" s="14">
        <v>45705</v>
      </c>
      <c r="B57" s="8" t="str">
        <f t="shared" si="13"/>
        <v>Quarter1</v>
      </c>
      <c r="C57" s="8" t="s">
        <v>311</v>
      </c>
      <c r="D57" s="8" t="str">
        <f t="shared" si="14"/>
        <v>IXL</v>
      </c>
      <c r="E57" s="8" t="s">
        <v>312</v>
      </c>
      <c r="F57" s="8" t="s">
        <v>301</v>
      </c>
      <c r="G57" s="8" t="s">
        <v>136</v>
      </c>
      <c r="H57" s="8" t="str">
        <f t="shared" si="15"/>
        <v>Approach</v>
      </c>
      <c r="I57" s="8" t="s">
        <v>115</v>
      </c>
      <c r="J57" s="13" t="s">
        <v>534</v>
      </c>
      <c r="K57" s="13" t="str">
        <f t="shared" si="3"/>
        <v>ASHISH JAYASWAL | Approach Speed High (&lt;50 ft)</v>
      </c>
      <c r="L57" s="13" t="str">
        <f t="shared" si="4"/>
        <v>SAHIL SHARMA | Approach Speed High (&lt;50 ft)</v>
      </c>
      <c r="M57" s="13" t="str">
        <f t="shared" si="5"/>
        <v>IXL | Approach Speed High (&lt;50 ft)</v>
      </c>
      <c r="N57" s="8">
        <f t="shared" si="16"/>
        <v>5</v>
      </c>
      <c r="O57" s="8" t="str">
        <f t="shared" si="17"/>
        <v/>
      </c>
      <c r="P57" s="8">
        <f t="shared" si="18"/>
        <v>11</v>
      </c>
      <c r="Q57" s="8" t="str">
        <f t="shared" si="19"/>
        <v/>
      </c>
      <c r="R57" s="8" t="str">
        <f t="shared" si="20"/>
        <v/>
      </c>
      <c r="S57" s="8" t="str">
        <f t="shared" si="21"/>
        <v/>
      </c>
      <c r="T57" s="8" t="str">
        <f t="shared" si="22"/>
        <v>Red</v>
      </c>
    </row>
    <row r="58" spans="1:20" ht="16" x14ac:dyDescent="0.2">
      <c r="A58" s="14">
        <v>45707</v>
      </c>
      <c r="B58" s="8" t="str">
        <f t="shared" si="13"/>
        <v>Quarter1</v>
      </c>
      <c r="C58" s="8" t="s">
        <v>537</v>
      </c>
      <c r="D58" s="8" t="str">
        <f t="shared" si="14"/>
        <v>IXD</v>
      </c>
      <c r="E58" s="8" t="s">
        <v>336</v>
      </c>
      <c r="F58" s="8" t="s">
        <v>538</v>
      </c>
      <c r="G58" s="8" t="s">
        <v>27</v>
      </c>
      <c r="H58" s="8" t="str">
        <f t="shared" si="15"/>
        <v>Approach</v>
      </c>
      <c r="I58" s="8" t="s">
        <v>157</v>
      </c>
      <c r="J58" s="13" t="s">
        <v>542</v>
      </c>
      <c r="K58" s="13" t="str">
        <f t="shared" si="3"/>
        <v>MANDEEP KAUR. | Go around</v>
      </c>
      <c r="L58" s="13" t="str">
        <f t="shared" si="4"/>
        <v>MANISH SINGH | Go around</v>
      </c>
      <c r="M58" s="13" t="str">
        <f t="shared" si="5"/>
        <v>IXD | Go around</v>
      </c>
      <c r="N58" s="8" t="str">
        <f t="shared" si="16"/>
        <v/>
      </c>
      <c r="O58" s="8" t="str">
        <f t="shared" si="17"/>
        <v/>
      </c>
      <c r="P58" s="8" t="str">
        <f t="shared" si="18"/>
        <v/>
      </c>
      <c r="Q58" s="8" t="str">
        <f t="shared" si="19"/>
        <v/>
      </c>
      <c r="R58" s="8" t="str">
        <f t="shared" si="20"/>
        <v/>
      </c>
      <c r="S58" s="8">
        <f t="shared" si="21"/>
        <v>896</v>
      </c>
      <c r="T58" s="8" t="str">
        <f t="shared" si="22"/>
        <v>Red</v>
      </c>
    </row>
    <row r="59" spans="1:20" ht="32" x14ac:dyDescent="0.2">
      <c r="A59" s="14">
        <v>45708</v>
      </c>
      <c r="B59" s="8" t="str">
        <f t="shared" si="13"/>
        <v>Quarter1</v>
      </c>
      <c r="C59" s="8" t="s">
        <v>56</v>
      </c>
      <c r="D59" s="8" t="str">
        <f t="shared" si="14"/>
        <v>DEL</v>
      </c>
      <c r="E59" s="8" t="s">
        <v>303</v>
      </c>
      <c r="F59" s="8" t="s">
        <v>554</v>
      </c>
      <c r="G59" s="8" t="s">
        <v>180</v>
      </c>
      <c r="H59" s="8" t="str">
        <f t="shared" si="15"/>
        <v>Climb</v>
      </c>
      <c r="I59" s="8" t="s">
        <v>115</v>
      </c>
      <c r="J59" s="13" t="s">
        <v>558</v>
      </c>
      <c r="K59" s="13" t="str">
        <f t="shared" si="3"/>
        <v>AMALENDU | Excessive Bank after Take-off (0-400 ft)</v>
      </c>
      <c r="L59" s="13" t="str">
        <f t="shared" si="4"/>
        <v>RITURAJ JAISWAL | Excessive Bank after Take-off (0-400 ft)</v>
      </c>
      <c r="M59" s="13" t="str">
        <f t="shared" si="5"/>
        <v>DEL | Excessive Bank after Take-off (0-400 ft)</v>
      </c>
      <c r="N59" s="8">
        <f t="shared" si="16"/>
        <v>2</v>
      </c>
      <c r="O59" s="8" t="str">
        <f t="shared" si="17"/>
        <v/>
      </c>
      <c r="P59" s="8">
        <f t="shared" si="18"/>
        <v>226</v>
      </c>
      <c r="Q59" s="8" t="str">
        <f t="shared" si="19"/>
        <v/>
      </c>
      <c r="R59" s="8" t="str">
        <f t="shared" si="20"/>
        <v/>
      </c>
      <c r="S59" s="8" t="str">
        <f t="shared" si="21"/>
        <v/>
      </c>
      <c r="T59" s="8" t="str">
        <f t="shared" si="22"/>
        <v>Red</v>
      </c>
    </row>
    <row r="60" spans="1:20" ht="16" x14ac:dyDescent="0.2">
      <c r="A60" s="14">
        <v>45710</v>
      </c>
      <c r="B60" s="8" t="str">
        <f t="shared" si="13"/>
        <v>Quarter1</v>
      </c>
      <c r="C60" s="8" t="s">
        <v>56</v>
      </c>
      <c r="D60" s="8" t="str">
        <f t="shared" si="14"/>
        <v>IXB</v>
      </c>
      <c r="E60" s="8" t="s">
        <v>560</v>
      </c>
      <c r="F60" s="8" t="s">
        <v>507</v>
      </c>
      <c r="G60" s="8" t="s">
        <v>27</v>
      </c>
      <c r="H60" s="8" t="str">
        <f t="shared" si="15"/>
        <v>Approach</v>
      </c>
      <c r="I60" s="8" t="s">
        <v>157</v>
      </c>
      <c r="J60" s="13" t="s">
        <v>562</v>
      </c>
      <c r="K60" s="13" t="str">
        <f t="shared" si="3"/>
        <v>RAVINDER CHAWLA | Go around</v>
      </c>
      <c r="L60" s="13" t="str">
        <f t="shared" si="4"/>
        <v>AKASH SANDHU | Go around</v>
      </c>
      <c r="M60" s="13" t="str">
        <f t="shared" si="5"/>
        <v>IXB | Go around</v>
      </c>
      <c r="N60" s="8" t="str">
        <f t="shared" si="16"/>
        <v/>
      </c>
      <c r="O60" s="8" t="str">
        <f t="shared" si="17"/>
        <v/>
      </c>
      <c r="P60" s="8" t="str">
        <f t="shared" si="18"/>
        <v/>
      </c>
      <c r="Q60" s="8" t="str">
        <f t="shared" si="19"/>
        <v/>
      </c>
      <c r="R60" s="8" t="str">
        <f t="shared" si="20"/>
        <v/>
      </c>
      <c r="S60" s="8">
        <f t="shared" si="21"/>
        <v>453</v>
      </c>
      <c r="T60" s="8" t="str">
        <f t="shared" si="22"/>
        <v>Red</v>
      </c>
    </row>
    <row r="61" spans="1:20" ht="32" x14ac:dyDescent="0.2">
      <c r="A61" s="14">
        <v>45711</v>
      </c>
      <c r="B61" s="8" t="str">
        <f t="shared" si="13"/>
        <v>Quarter1</v>
      </c>
      <c r="C61" s="8" t="s">
        <v>402</v>
      </c>
      <c r="D61" s="8" t="str">
        <f t="shared" si="14"/>
        <v>AMD</v>
      </c>
      <c r="E61" s="8" t="s">
        <v>565</v>
      </c>
      <c r="F61" s="8" t="s">
        <v>433</v>
      </c>
      <c r="G61" s="8" t="s">
        <v>53</v>
      </c>
      <c r="H61" s="8" t="str">
        <f t="shared" si="15"/>
        <v>Approach</v>
      </c>
      <c r="I61" s="8" t="s">
        <v>115</v>
      </c>
      <c r="J61" s="13" t="s">
        <v>570</v>
      </c>
      <c r="K61" s="13" t="str">
        <f t="shared" si="3"/>
        <v>ADITYA KOLATHKAR | Low Rate of Descent (&lt;1000 ft)</v>
      </c>
      <c r="L61" s="13" t="str">
        <f t="shared" si="4"/>
        <v>NITISH SINGH | Low Rate of Descent (&lt;1000 ft)</v>
      </c>
      <c r="M61" s="13" t="str">
        <f t="shared" si="5"/>
        <v>AMD | Low Rate of Descent (&lt;1000 ft)</v>
      </c>
      <c r="N61" s="8">
        <f t="shared" si="16"/>
        <v>4</v>
      </c>
      <c r="O61" s="8" t="str">
        <f t="shared" si="17"/>
        <v/>
      </c>
      <c r="P61" s="8" t="str">
        <f t="shared" si="18"/>
        <v/>
      </c>
      <c r="Q61" s="8" t="str">
        <f t="shared" si="19"/>
        <v/>
      </c>
      <c r="R61" s="8" t="str">
        <f t="shared" si="20"/>
        <v/>
      </c>
      <c r="S61" s="8" t="str">
        <f t="shared" si="21"/>
        <v/>
      </c>
      <c r="T61" s="8" t="str">
        <f t="shared" si="22"/>
        <v>Red</v>
      </c>
    </row>
    <row r="62" spans="1:20" ht="32" x14ac:dyDescent="0.2">
      <c r="A62" s="14">
        <v>45710</v>
      </c>
      <c r="B62" s="8" t="str">
        <f t="shared" si="13"/>
        <v>Quarter1</v>
      </c>
      <c r="C62" s="8" t="s">
        <v>268</v>
      </c>
      <c r="D62" s="8" t="str">
        <f t="shared" si="14"/>
        <v>DXB</v>
      </c>
      <c r="E62" s="13" t="s">
        <v>342</v>
      </c>
      <c r="F62" s="8" t="s">
        <v>566</v>
      </c>
      <c r="G62" s="8" t="s">
        <v>567</v>
      </c>
      <c r="H62" s="8" t="str">
        <f t="shared" si="15"/>
        <v>Climb</v>
      </c>
      <c r="I62" s="8" t="s">
        <v>203</v>
      </c>
      <c r="J62" s="22" t="s">
        <v>571</v>
      </c>
      <c r="K62" s="13" t="str">
        <f t="shared" si="3"/>
        <v>TANMAY GANESH KELUSKAR | Exceesive Bank After take-off &gt;400 ft</v>
      </c>
      <c r="L62" s="13" t="str">
        <f t="shared" si="4"/>
        <v>ADNAN ABDUL JABBAR | Exceesive Bank After take-off &gt;400 ft</v>
      </c>
      <c r="M62" s="13" t="str">
        <f t="shared" si="5"/>
        <v>DXB | Exceesive Bank After take-off &gt;400 ft</v>
      </c>
      <c r="N62" s="8">
        <f t="shared" si="16"/>
        <v>4</v>
      </c>
      <c r="O62" s="8" t="str">
        <f t="shared" si="17"/>
        <v/>
      </c>
      <c r="P62" s="8">
        <f t="shared" si="18"/>
        <v>1627</v>
      </c>
      <c r="Q62" s="8" t="str">
        <f t="shared" si="19"/>
        <v/>
      </c>
      <c r="R62" s="8" t="str">
        <f t="shared" si="20"/>
        <v/>
      </c>
      <c r="S62" s="8" t="str">
        <f t="shared" si="21"/>
        <v/>
      </c>
      <c r="T62" s="8" t="str">
        <f t="shared" si="22"/>
        <v>Red</v>
      </c>
    </row>
    <row r="63" spans="1:20" ht="32" x14ac:dyDescent="0.2">
      <c r="A63" s="14">
        <v>45713</v>
      </c>
      <c r="B63" s="8" t="str">
        <f t="shared" si="13"/>
        <v>Quarter1</v>
      </c>
      <c r="C63" s="8" t="s">
        <v>45</v>
      </c>
      <c r="D63" s="8" t="str">
        <f t="shared" si="14"/>
        <v>AMD</v>
      </c>
      <c r="E63" s="8" t="s">
        <v>194</v>
      </c>
      <c r="F63" s="8" t="s">
        <v>433</v>
      </c>
      <c r="G63" s="8" t="s">
        <v>53</v>
      </c>
      <c r="H63" s="8" t="str">
        <f t="shared" si="15"/>
        <v>Approach</v>
      </c>
      <c r="I63" s="8" t="s">
        <v>115</v>
      </c>
      <c r="J63" s="13" t="s">
        <v>581</v>
      </c>
      <c r="K63" s="13" t="str">
        <f t="shared" si="3"/>
        <v>MAHENDRA KUVARJI CHHEDA | Low Rate of Descent (&lt;1000 ft)</v>
      </c>
      <c r="L63" s="13" t="str">
        <f t="shared" si="4"/>
        <v>NITISH SINGH | Low Rate of Descent (&lt;1000 ft)</v>
      </c>
      <c r="M63" s="13" t="str">
        <f t="shared" si="5"/>
        <v>AMD | Low Rate of Descent (&lt;1000 ft)</v>
      </c>
      <c r="N63" s="8">
        <f t="shared" si="16"/>
        <v>7</v>
      </c>
      <c r="O63" s="8" t="str">
        <f t="shared" si="17"/>
        <v/>
      </c>
      <c r="P63" s="8" t="str">
        <f t="shared" si="18"/>
        <v/>
      </c>
      <c r="Q63" s="8" t="str">
        <f t="shared" si="19"/>
        <v/>
      </c>
      <c r="R63" s="8" t="str">
        <f t="shared" si="20"/>
        <v/>
      </c>
      <c r="S63" s="8" t="str">
        <f t="shared" si="21"/>
        <v/>
      </c>
      <c r="T63" s="8" t="str">
        <f t="shared" si="22"/>
        <v>Red</v>
      </c>
    </row>
    <row r="64" spans="1:20" ht="16" x14ac:dyDescent="0.2">
      <c r="A64" s="14">
        <v>45716</v>
      </c>
      <c r="B64" s="8" t="str">
        <f t="shared" si="13"/>
        <v>Quarter1</v>
      </c>
      <c r="C64" s="8" t="s">
        <v>592</v>
      </c>
      <c r="D64" s="8" t="str">
        <f t="shared" si="14"/>
        <v>PAT</v>
      </c>
      <c r="E64" s="8" t="s">
        <v>593</v>
      </c>
      <c r="F64" s="8" t="s">
        <v>200</v>
      </c>
      <c r="G64" s="8" t="s">
        <v>344</v>
      </c>
      <c r="H64" s="8" t="str">
        <f t="shared" si="15"/>
        <v>Approach</v>
      </c>
      <c r="I64" s="8" t="s">
        <v>157</v>
      </c>
      <c r="J64" s="13" t="s">
        <v>603</v>
      </c>
      <c r="K64" s="13" t="str">
        <f t="shared" si="3"/>
        <v>CHARAN SINGH CHOUDHARY | Go around 1st</v>
      </c>
      <c r="L64" s="13" t="str">
        <f t="shared" si="4"/>
        <v>NAMITA SHRIPAL CHAURASIA | Go around 1st</v>
      </c>
      <c r="M64" s="13" t="str">
        <f t="shared" si="5"/>
        <v>PAT | Go around 1st</v>
      </c>
      <c r="N64" s="8" t="str">
        <f t="shared" si="16"/>
        <v/>
      </c>
      <c r="O64" s="8" t="str">
        <f t="shared" si="17"/>
        <v/>
      </c>
      <c r="P64" s="8" t="str">
        <f t="shared" si="18"/>
        <v/>
      </c>
      <c r="Q64" s="8" t="str">
        <f t="shared" si="19"/>
        <v/>
      </c>
      <c r="R64" s="8" t="str">
        <f t="shared" si="20"/>
        <v/>
      </c>
      <c r="S64" s="8">
        <f t="shared" si="21"/>
        <v>79</v>
      </c>
      <c r="T64" s="8" t="str">
        <f t="shared" si="22"/>
        <v>Red</v>
      </c>
    </row>
    <row r="65" spans="1:20" ht="16" x14ac:dyDescent="0.2">
      <c r="A65" s="14">
        <v>45716</v>
      </c>
      <c r="B65" s="8" t="str">
        <f t="shared" si="13"/>
        <v>Quarter1</v>
      </c>
      <c r="C65" s="8" t="s">
        <v>592</v>
      </c>
      <c r="D65" s="8" t="str">
        <f t="shared" si="14"/>
        <v>PAT</v>
      </c>
      <c r="E65" s="8" t="s">
        <v>593</v>
      </c>
      <c r="F65" s="8" t="s">
        <v>200</v>
      </c>
      <c r="G65" s="8" t="s">
        <v>345</v>
      </c>
      <c r="H65" s="8" t="str">
        <f t="shared" si="15"/>
        <v>Approach</v>
      </c>
      <c r="I65" s="8" t="s">
        <v>157</v>
      </c>
      <c r="J65" s="13" t="s">
        <v>604</v>
      </c>
      <c r="K65" s="13" t="str">
        <f t="shared" si="3"/>
        <v>CHARAN SINGH CHOUDHARY | Go around 2nd</v>
      </c>
      <c r="L65" s="13" t="str">
        <f t="shared" si="4"/>
        <v>NAMITA SHRIPAL CHAURASIA | Go around 2nd</v>
      </c>
      <c r="M65" s="13" t="str">
        <f t="shared" si="5"/>
        <v>PAT | Go around 2nd</v>
      </c>
      <c r="N65" s="8" t="str">
        <f t="shared" si="16"/>
        <v/>
      </c>
      <c r="O65" s="8" t="str">
        <f t="shared" si="17"/>
        <v/>
      </c>
      <c r="P65" s="8" t="str">
        <f t="shared" si="18"/>
        <v/>
      </c>
      <c r="Q65" s="8" t="str">
        <f t="shared" si="19"/>
        <v/>
      </c>
      <c r="R65" s="8" t="str">
        <f t="shared" si="20"/>
        <v/>
      </c>
      <c r="S65" s="8">
        <f t="shared" si="21"/>
        <v>69</v>
      </c>
      <c r="T65" s="8" t="str">
        <f t="shared" si="22"/>
        <v>Red</v>
      </c>
    </row>
    <row r="66" spans="1:20" ht="32" x14ac:dyDescent="0.2">
      <c r="A66" s="14">
        <v>45716</v>
      </c>
      <c r="B66" s="8" t="str">
        <f t="shared" si="13"/>
        <v>Quarter1</v>
      </c>
      <c r="C66" s="8" t="s">
        <v>592</v>
      </c>
      <c r="D66" s="8" t="str">
        <f t="shared" si="14"/>
        <v>PAT</v>
      </c>
      <c r="E66" s="8" t="s">
        <v>593</v>
      </c>
      <c r="F66" s="8" t="s">
        <v>200</v>
      </c>
      <c r="G66" s="8" t="s">
        <v>24</v>
      </c>
      <c r="H66" s="8" t="str">
        <f t="shared" si="15"/>
        <v>Approach</v>
      </c>
      <c r="I66" s="8" t="s">
        <v>203</v>
      </c>
      <c r="J66" s="13" t="s">
        <v>605</v>
      </c>
      <c r="K66" s="13" t="str">
        <f t="shared" si="3"/>
        <v>CHARAN SINGH CHOUDHARY | High Rate of Descent (500-100 ft)</v>
      </c>
      <c r="L66" s="13" t="str">
        <f t="shared" si="4"/>
        <v>NAMITA SHRIPAL CHAURASIA | High Rate of Descent (500-100 ft)</v>
      </c>
      <c r="M66" s="13" t="str">
        <f t="shared" si="5"/>
        <v>PAT | High Rate of Descent (500-100 ft)</v>
      </c>
      <c r="N66" s="8">
        <f t="shared" si="16"/>
        <v>7</v>
      </c>
      <c r="O66" s="8" t="str">
        <f t="shared" si="17"/>
        <v/>
      </c>
      <c r="P66" s="8">
        <f t="shared" si="18"/>
        <v>269</v>
      </c>
      <c r="Q66" s="8" t="str">
        <f t="shared" si="19"/>
        <v/>
      </c>
      <c r="R66" s="8">
        <f t="shared" si="20"/>
        <v>1170</v>
      </c>
      <c r="S66" s="8" t="str">
        <f t="shared" si="21"/>
        <v/>
      </c>
      <c r="T66" s="8" t="str">
        <f t="shared" si="22"/>
        <v>Red</v>
      </c>
    </row>
    <row r="67" spans="1:20" ht="16" x14ac:dyDescent="0.2">
      <c r="A67" s="14">
        <v>45716</v>
      </c>
      <c r="B67" s="8" t="str">
        <f t="shared" si="13"/>
        <v>Quarter1</v>
      </c>
      <c r="C67" s="8" t="s">
        <v>514</v>
      </c>
      <c r="D67" s="8" t="str">
        <f t="shared" si="14"/>
        <v>CCU</v>
      </c>
      <c r="E67" s="8" t="s">
        <v>432</v>
      </c>
      <c r="F67" s="8" t="s">
        <v>499</v>
      </c>
      <c r="G67" s="8" t="s">
        <v>38</v>
      </c>
      <c r="H67" s="8" t="str">
        <f t="shared" si="15"/>
        <v>Approach</v>
      </c>
      <c r="I67" s="8" t="s">
        <v>203</v>
      </c>
      <c r="J67" s="13" t="s">
        <v>606</v>
      </c>
      <c r="K67" s="13" t="str">
        <f t="shared" ref="K67:K130" si="23">E67 &amp; " | " &amp; G67</f>
        <v>SHAKTI SATYAKUMAR KAUSHAL | GPWS (GLIDESLOPE)</v>
      </c>
      <c r="L67" s="13" t="str">
        <f t="shared" ref="L67:L130" si="24">F67 &amp; " | " &amp; G67</f>
        <v>NIKHIL CHAWLA | GPWS (GLIDESLOPE)</v>
      </c>
      <c r="M67" s="13" t="str">
        <f t="shared" ref="M67:M130" si="25">D67 &amp; " | " &amp; G67</f>
        <v>CCU | GPWS (GLIDESLOPE)</v>
      </c>
      <c r="N67" s="8">
        <f t="shared" si="16"/>
        <v>4</v>
      </c>
      <c r="O67" s="8" t="str">
        <f t="shared" si="17"/>
        <v/>
      </c>
      <c r="P67" s="8" t="str">
        <f t="shared" si="18"/>
        <v/>
      </c>
      <c r="Q67" s="8" t="str">
        <f t="shared" si="19"/>
        <v/>
      </c>
      <c r="R67" s="8" t="str">
        <f t="shared" si="20"/>
        <v/>
      </c>
      <c r="S67" s="8">
        <f t="shared" si="21"/>
        <v>154</v>
      </c>
      <c r="T67" s="8" t="str">
        <f t="shared" si="22"/>
        <v>Red</v>
      </c>
    </row>
    <row r="68" spans="1:20" ht="32" x14ac:dyDescent="0.2">
      <c r="A68" s="14">
        <v>45716</v>
      </c>
      <c r="B68" s="8" t="str">
        <f t="shared" si="13"/>
        <v>Quarter1</v>
      </c>
      <c r="C68" s="8" t="s">
        <v>514</v>
      </c>
      <c r="D68" s="8" t="str">
        <f t="shared" si="14"/>
        <v>CCU</v>
      </c>
      <c r="E68" s="8" t="s">
        <v>432</v>
      </c>
      <c r="F68" s="8" t="s">
        <v>499</v>
      </c>
      <c r="G68" s="8" t="s">
        <v>39</v>
      </c>
      <c r="H68" s="8" t="str">
        <f t="shared" si="15"/>
        <v>Approach</v>
      </c>
      <c r="I68" s="8" t="s">
        <v>203</v>
      </c>
      <c r="J68" s="13" t="s">
        <v>607</v>
      </c>
      <c r="K68" s="13" t="str">
        <f t="shared" si="23"/>
        <v>SHAKTI SATYAKUMAR KAUSHAL | Deviation Below Glideslope (&lt;1000 ft)</v>
      </c>
      <c r="L68" s="13" t="str">
        <f t="shared" si="24"/>
        <v>NIKHIL CHAWLA | Deviation Below Glideslope (&lt;1000 ft)</v>
      </c>
      <c r="M68" s="13" t="str">
        <f t="shared" si="25"/>
        <v>CCU | Deviation Below Glideslope (&lt;1000 ft)</v>
      </c>
      <c r="N68" s="8">
        <f t="shared" si="16"/>
        <v>11</v>
      </c>
      <c r="O68" s="8">
        <f t="shared" si="17"/>
        <v>2.09</v>
      </c>
      <c r="P68" s="8" t="str">
        <f t="shared" si="18"/>
        <v/>
      </c>
      <c r="Q68" s="8" t="str">
        <f t="shared" si="19"/>
        <v/>
      </c>
      <c r="R68" s="8" t="str">
        <f t="shared" si="20"/>
        <v/>
      </c>
      <c r="S68" s="8" t="str">
        <f t="shared" si="21"/>
        <v/>
      </c>
      <c r="T68" s="8" t="str">
        <f t="shared" si="22"/>
        <v>Red</v>
      </c>
    </row>
    <row r="69" spans="1:20" ht="32" x14ac:dyDescent="0.2">
      <c r="A69" s="14">
        <v>45715</v>
      </c>
      <c r="B69" s="8" t="str">
        <f t="shared" si="13"/>
        <v>Quarter1</v>
      </c>
      <c r="C69" s="8" t="s">
        <v>599</v>
      </c>
      <c r="D69" s="8" t="str">
        <f t="shared" si="14"/>
        <v>DEL</v>
      </c>
      <c r="E69" s="8" t="s">
        <v>334</v>
      </c>
      <c r="F69" s="8" t="s">
        <v>122</v>
      </c>
      <c r="G69" s="8" t="s">
        <v>529</v>
      </c>
      <c r="H69" s="8" t="str">
        <f t="shared" si="15"/>
        <v>Approach</v>
      </c>
      <c r="I69" s="8" t="s">
        <v>115</v>
      </c>
      <c r="J69" s="13" t="s">
        <v>608</v>
      </c>
      <c r="K69" s="13" t="str">
        <f t="shared" si="23"/>
        <v>FARZAND SINGH | Approach Speed High (500-50 ft)</v>
      </c>
      <c r="L69" s="13" t="str">
        <f t="shared" si="24"/>
        <v>BHUSHAN SHAILESH SHAH | Approach Speed High (500-50 ft)</v>
      </c>
      <c r="M69" s="13" t="str">
        <f t="shared" si="25"/>
        <v>DEL | Approach Speed High (500-50 ft)</v>
      </c>
      <c r="N69" s="8">
        <f t="shared" si="16"/>
        <v>4</v>
      </c>
      <c r="O69" s="8" t="str">
        <f t="shared" si="17"/>
        <v/>
      </c>
      <c r="P69" s="8">
        <f t="shared" si="18"/>
        <v>143</v>
      </c>
      <c r="Q69" s="8">
        <f t="shared" si="19"/>
        <v>160.80000000000001</v>
      </c>
      <c r="R69" s="8" t="str">
        <f t="shared" si="20"/>
        <v/>
      </c>
      <c r="S69" s="8" t="str">
        <f t="shared" si="21"/>
        <v/>
      </c>
      <c r="T69" s="8" t="str">
        <f t="shared" si="22"/>
        <v>Red</v>
      </c>
    </row>
    <row r="70" spans="1:20" ht="16" x14ac:dyDescent="0.2">
      <c r="A70" s="14">
        <v>45717</v>
      </c>
      <c r="B70" s="8" t="str">
        <f t="shared" si="13"/>
        <v>Quarter1</v>
      </c>
      <c r="C70" s="8" t="s">
        <v>411</v>
      </c>
      <c r="D70" s="8" t="str">
        <f t="shared" si="14"/>
        <v>IXJ</v>
      </c>
      <c r="E70" s="8" t="s">
        <v>610</v>
      </c>
      <c r="F70" s="8" t="s">
        <v>148</v>
      </c>
      <c r="G70" s="8" t="s">
        <v>27</v>
      </c>
      <c r="H70" s="8" t="str">
        <f t="shared" si="15"/>
        <v>Approach</v>
      </c>
      <c r="I70" s="8" t="s">
        <v>157</v>
      </c>
      <c r="J70" s="13" t="s">
        <v>623</v>
      </c>
      <c r="K70" s="13" t="str">
        <f t="shared" si="23"/>
        <v>SAGAR SHEGOANKAR | Go around</v>
      </c>
      <c r="L70" s="13" t="str">
        <f t="shared" si="24"/>
        <v>ALHAD SUDHIR PHADKE | Go around</v>
      </c>
      <c r="M70" s="13" t="str">
        <f t="shared" si="25"/>
        <v>IXJ | Go around</v>
      </c>
      <c r="N70" s="8" t="str">
        <f t="shared" si="16"/>
        <v/>
      </c>
      <c r="O70" s="8" t="str">
        <f t="shared" si="17"/>
        <v/>
      </c>
      <c r="P70" s="8" t="str">
        <f t="shared" si="18"/>
        <v/>
      </c>
      <c r="Q70" s="8" t="str">
        <f t="shared" si="19"/>
        <v/>
      </c>
      <c r="R70" s="8" t="str">
        <f t="shared" si="20"/>
        <v/>
      </c>
      <c r="S70" s="8">
        <f t="shared" si="21"/>
        <v>1336</v>
      </c>
      <c r="T70" s="8" t="str">
        <f t="shared" si="22"/>
        <v>Red</v>
      </c>
    </row>
    <row r="71" spans="1:20" ht="16" x14ac:dyDescent="0.2">
      <c r="A71" s="14">
        <v>45717</v>
      </c>
      <c r="B71" s="8" t="str">
        <f t="shared" si="13"/>
        <v>Quarter1</v>
      </c>
      <c r="C71" s="8" t="s">
        <v>487</v>
      </c>
      <c r="D71" s="8" t="str">
        <f t="shared" si="14"/>
        <v>DBR</v>
      </c>
      <c r="E71" s="8" t="s">
        <v>454</v>
      </c>
      <c r="F71" s="8" t="s">
        <v>386</v>
      </c>
      <c r="G71" s="8" t="s">
        <v>27</v>
      </c>
      <c r="H71" s="8" t="str">
        <f t="shared" si="15"/>
        <v>Approach</v>
      </c>
      <c r="I71" s="8" t="s">
        <v>157</v>
      </c>
      <c r="J71" s="13" t="s">
        <v>624</v>
      </c>
      <c r="K71" s="13" t="str">
        <f t="shared" si="23"/>
        <v>KUNAL HITEN PARIKH | Go around</v>
      </c>
      <c r="L71" s="13" t="str">
        <f t="shared" si="24"/>
        <v>ANTARA PURI | Go around</v>
      </c>
      <c r="M71" s="13" t="str">
        <f t="shared" si="25"/>
        <v>DBR | Go around</v>
      </c>
      <c r="N71" s="8" t="str">
        <f t="shared" si="16"/>
        <v/>
      </c>
      <c r="O71" s="8" t="str">
        <f t="shared" si="17"/>
        <v/>
      </c>
      <c r="P71" s="8" t="str">
        <f t="shared" si="18"/>
        <v/>
      </c>
      <c r="Q71" s="8" t="str">
        <f t="shared" si="19"/>
        <v/>
      </c>
      <c r="R71" s="8" t="str">
        <f t="shared" si="20"/>
        <v/>
      </c>
      <c r="S71" s="8">
        <f t="shared" si="21"/>
        <v>40</v>
      </c>
      <c r="T71" s="8" t="str">
        <f t="shared" si="22"/>
        <v>Red</v>
      </c>
    </row>
    <row r="72" spans="1:20" ht="32" x14ac:dyDescent="0.2">
      <c r="A72" s="14">
        <v>45717</v>
      </c>
      <c r="B72" s="8" t="str">
        <f t="shared" ref="B72:B102" si="26">"Quarter" &amp; INT((MONTH(A72)-1)/3)+1</f>
        <v>Quarter1</v>
      </c>
      <c r="C72" s="8" t="s">
        <v>56</v>
      </c>
      <c r="D72" s="8" t="str">
        <f t="shared" ref="D72:D102" si="27">IF(OR(
    ISNUMBER(SEARCH("Taxi", G72)),
    ISNUMBER(SEARCH("Take-off", G72)),
    ISNUMBER(SEARCH("Climb", G72))
),
    LEFT(C72, FIND("-", C72)-1),
    RIGHT(C72, LEN(C72) - FIND("-", C72))
)</f>
        <v>IXB</v>
      </c>
      <c r="E72" s="8" t="s">
        <v>235</v>
      </c>
      <c r="F72" s="8" t="s">
        <v>613</v>
      </c>
      <c r="G72" s="8" t="s">
        <v>614</v>
      </c>
      <c r="H72" s="8" t="str">
        <f t="shared" ref="H72:H102" si="28">IF(OR(ISNUMBER(SEARCH("Taxi", G72))), "Taxi",
 IF(OR(ISNUMBER(SEARCH("Take-off", G72)), ISNUMBER(SEARCH("Climb", G72)), ISNUMBER(SEARCH("Gear Retraction", G72)), ISNUMBER(SEARCH("Config Change", G72))), "Climb",
 IF(ISNUMBER(SEARCH("Cruise", G72)), "Cruise",
 "Approach")))</f>
        <v>Approach</v>
      </c>
      <c r="I72" s="8" t="s">
        <v>115</v>
      </c>
      <c r="J72" s="13" t="s">
        <v>625</v>
      </c>
      <c r="K72" s="13" t="str">
        <f t="shared" si="23"/>
        <v>DRON THAKUR | Flap 15 Speed Exceeded</v>
      </c>
      <c r="L72" s="13" t="str">
        <f t="shared" si="24"/>
        <v>AYAAN AHMED SIDDIQUI | Flap 15 Speed Exceeded</v>
      </c>
      <c r="M72" s="13" t="str">
        <f t="shared" si="25"/>
        <v>IXB | Flap 15 Speed Exceeded</v>
      </c>
      <c r="N72" s="8">
        <f t="shared" ref="N72:N102" si="29">IFERROR(VALUE(MID(J72,FIND("for ",J72)+4,FIND(" sec",J72)-FIND("for ",J72)-4)),"")</f>
        <v>1</v>
      </c>
      <c r="O72" s="8" t="str">
        <f t="shared" ref="O72:O102" si="30">IFERROR(VALUE(MID(J72,FIND("Max Deviation ",J72)+14,FIND(" at",J72)-FIND("Max Deviation ",J72)-14)),"")</f>
        <v/>
      </c>
      <c r="P72" s="8">
        <f t="shared" ref="P72:P102" si="31">IFERROR(VALUE(MID(J72,FIND("Altitude:",J72)+9,FIND(" ft",J72)-FIND("Altitude:",J72)-9)),"")</f>
        <v>2935</v>
      </c>
      <c r="Q72" s="8">
        <f t="shared" ref="Q72:Q102" si="32">IFERROR(VALUE(MID(J72,FIND("Max CAS:",J72)+8,FIND(" kts",J72)-FIND("Max CAS:",J72)-8)),"")</f>
        <v>203.8</v>
      </c>
      <c r="R72" s="8" t="str">
        <f t="shared" ref="R72:R102" si="33">IFERROR(VALUE(MID(J72,FIND("Max ROD:",J72)+8,FIND(" fpm",J72)-FIND("Max ROD:",J72)-8)),"")</f>
        <v/>
      </c>
      <c r="S72" s="8" t="str">
        <f t="shared" ref="S72:S102" si="34">IFERROR(VALUE(MID(J72,FIND("At ",J72)+3,FIND(" ft",J72)-FIND("At ",J72)-3)),"")</f>
        <v/>
      </c>
      <c r="T72" s="8" t="str">
        <f t="shared" ref="T72:T102" si="35">IF(I72="Information","Amber","Red")</f>
        <v>Red</v>
      </c>
    </row>
    <row r="73" spans="1:20" ht="32" x14ac:dyDescent="0.2">
      <c r="A73" s="14">
        <v>45717</v>
      </c>
      <c r="B73" s="8" t="str">
        <f t="shared" si="26"/>
        <v>Quarter1</v>
      </c>
      <c r="C73" s="8" t="s">
        <v>616</v>
      </c>
      <c r="D73" s="8" t="str">
        <f t="shared" si="27"/>
        <v>IXZ</v>
      </c>
      <c r="E73" s="8" t="s">
        <v>287</v>
      </c>
      <c r="F73" s="8" t="s">
        <v>47</v>
      </c>
      <c r="G73" s="8" t="s">
        <v>289</v>
      </c>
      <c r="H73" s="8" t="str">
        <f t="shared" si="28"/>
        <v>Approach</v>
      </c>
      <c r="I73" s="8" t="s">
        <v>115</v>
      </c>
      <c r="J73" s="13" t="s">
        <v>626</v>
      </c>
      <c r="K73" s="13" t="str">
        <f t="shared" si="23"/>
        <v>RAJIV MOHAN | Pitch Attitude Low at Landing</v>
      </c>
      <c r="L73" s="13" t="str">
        <f t="shared" si="24"/>
        <v>RONNY SINGH | Pitch Attitude Low at Landing</v>
      </c>
      <c r="M73" s="13" t="str">
        <f t="shared" si="25"/>
        <v>IXZ | Pitch Attitude Low at Landing</v>
      </c>
      <c r="N73" s="8" t="str">
        <f t="shared" si="29"/>
        <v/>
      </c>
      <c r="O73" s="8" t="str">
        <f t="shared" si="30"/>
        <v/>
      </c>
      <c r="P73" s="8" t="str">
        <f t="shared" si="31"/>
        <v/>
      </c>
      <c r="Q73" s="8" t="str">
        <f t="shared" si="32"/>
        <v/>
      </c>
      <c r="R73" s="8" t="str">
        <f t="shared" si="33"/>
        <v/>
      </c>
      <c r="S73" s="8" t="str">
        <f t="shared" si="34"/>
        <v/>
      </c>
      <c r="T73" s="8" t="str">
        <f t="shared" si="35"/>
        <v>Red</v>
      </c>
    </row>
    <row r="74" spans="1:20" ht="48" x14ac:dyDescent="0.2">
      <c r="A74" s="14">
        <v>45717</v>
      </c>
      <c r="B74" s="8" t="str">
        <f t="shared" si="26"/>
        <v>Quarter1</v>
      </c>
      <c r="C74" s="8" t="s">
        <v>618</v>
      </c>
      <c r="D74" s="8" t="str">
        <f t="shared" si="27"/>
        <v>MAA</v>
      </c>
      <c r="E74" s="8" t="s">
        <v>619</v>
      </c>
      <c r="F74" s="8" t="s">
        <v>170</v>
      </c>
      <c r="G74" s="8" t="s">
        <v>620</v>
      </c>
      <c r="H74" s="8" t="str">
        <f t="shared" si="28"/>
        <v>Approach</v>
      </c>
      <c r="I74" s="8" t="s">
        <v>203</v>
      </c>
      <c r="J74" s="13" t="s">
        <v>627</v>
      </c>
      <c r="K74" s="13" t="str">
        <f t="shared" si="23"/>
        <v>MANAS CHATTERJEE | MMO Exceeded</v>
      </c>
      <c r="L74" s="13" t="str">
        <f t="shared" si="24"/>
        <v>SANJANA SANJAY AMRITE | MMO Exceeded</v>
      </c>
      <c r="M74" s="13" t="str">
        <f t="shared" si="25"/>
        <v>MAA | MMO Exceeded</v>
      </c>
      <c r="N74" s="8">
        <f t="shared" si="29"/>
        <v>14</v>
      </c>
      <c r="O74" s="8" t="str">
        <f t="shared" si="30"/>
        <v/>
      </c>
      <c r="P74" s="8">
        <f t="shared" si="31"/>
        <v>36992</v>
      </c>
      <c r="Q74" s="8" t="str">
        <f t="shared" si="32"/>
        <v/>
      </c>
      <c r="R74" s="8" t="str">
        <f t="shared" si="33"/>
        <v/>
      </c>
      <c r="S74" s="8" t="str">
        <f t="shared" si="34"/>
        <v/>
      </c>
      <c r="T74" s="8" t="str">
        <f t="shared" si="35"/>
        <v>Red</v>
      </c>
    </row>
    <row r="75" spans="1:20" ht="32" x14ac:dyDescent="0.2">
      <c r="A75" s="14">
        <v>45717</v>
      </c>
      <c r="B75" s="8" t="str">
        <f t="shared" si="26"/>
        <v>Quarter1</v>
      </c>
      <c r="C75" s="8" t="s">
        <v>331</v>
      </c>
      <c r="D75" s="8" t="str">
        <f t="shared" si="27"/>
        <v>DBR</v>
      </c>
      <c r="E75" s="8" t="s">
        <v>593</v>
      </c>
      <c r="F75" s="8" t="s">
        <v>622</v>
      </c>
      <c r="G75" s="8" t="s">
        <v>24</v>
      </c>
      <c r="H75" s="8" t="str">
        <f t="shared" si="28"/>
        <v>Approach</v>
      </c>
      <c r="I75" s="8" t="s">
        <v>115</v>
      </c>
      <c r="J75" s="13" t="s">
        <v>628</v>
      </c>
      <c r="K75" s="13" t="str">
        <f t="shared" si="23"/>
        <v>CHARAN SINGH CHOUDHARY | High Rate of Descent (500-100 ft)</v>
      </c>
      <c r="L75" s="13" t="str">
        <f t="shared" si="24"/>
        <v>UNNATI PRAMOD KAMLAKAR | High Rate of Descent (500-100 ft)</v>
      </c>
      <c r="M75" s="13" t="str">
        <f t="shared" si="25"/>
        <v>DBR | High Rate of Descent (500-100 ft)</v>
      </c>
      <c r="N75" s="8">
        <f t="shared" si="29"/>
        <v>6</v>
      </c>
      <c r="O75" s="8" t="str">
        <f t="shared" si="30"/>
        <v/>
      </c>
      <c r="P75" s="8">
        <f t="shared" si="31"/>
        <v>270</v>
      </c>
      <c r="Q75" s="8" t="str">
        <f t="shared" si="32"/>
        <v/>
      </c>
      <c r="R75" s="8">
        <f t="shared" si="33"/>
        <v>1230</v>
      </c>
      <c r="S75" s="8" t="str">
        <f t="shared" si="34"/>
        <v/>
      </c>
      <c r="T75" s="8" t="str">
        <f t="shared" si="35"/>
        <v>Red</v>
      </c>
    </row>
    <row r="76" spans="1:20" ht="16" x14ac:dyDescent="0.2">
      <c r="A76" s="14">
        <v>45718</v>
      </c>
      <c r="B76" s="8" t="str">
        <f t="shared" si="26"/>
        <v>Quarter1</v>
      </c>
      <c r="C76" s="8" t="s">
        <v>635</v>
      </c>
      <c r="D76" s="8" t="str">
        <f t="shared" si="27"/>
        <v>DBR</v>
      </c>
      <c r="E76" s="8" t="s">
        <v>378</v>
      </c>
      <c r="F76" s="8" t="s">
        <v>190</v>
      </c>
      <c r="G76" s="8" t="s">
        <v>27</v>
      </c>
      <c r="H76" s="8" t="str">
        <f t="shared" si="28"/>
        <v>Approach</v>
      </c>
      <c r="I76" s="8" t="s">
        <v>639</v>
      </c>
      <c r="J76" s="13" t="s">
        <v>640</v>
      </c>
      <c r="K76" s="13" t="str">
        <f t="shared" si="23"/>
        <v>ALKESH AJAYKUMAR NAIR | Go around</v>
      </c>
      <c r="L76" s="13" t="str">
        <f t="shared" si="24"/>
        <v>AKSHEY SOOD | Go around</v>
      </c>
      <c r="M76" s="13" t="str">
        <f t="shared" si="25"/>
        <v>DBR | Go around</v>
      </c>
      <c r="N76" s="8" t="str">
        <f t="shared" si="29"/>
        <v/>
      </c>
      <c r="O76" s="8" t="str">
        <f t="shared" si="30"/>
        <v/>
      </c>
      <c r="P76" s="8" t="str">
        <f t="shared" si="31"/>
        <v/>
      </c>
      <c r="Q76" s="8" t="str">
        <f t="shared" si="32"/>
        <v/>
      </c>
      <c r="R76" s="8" t="str">
        <f t="shared" si="33"/>
        <v/>
      </c>
      <c r="S76" s="8">
        <f t="shared" si="34"/>
        <v>294</v>
      </c>
      <c r="T76" s="8" t="str">
        <f t="shared" si="35"/>
        <v>Red</v>
      </c>
    </row>
    <row r="77" spans="1:20" ht="16" x14ac:dyDescent="0.2">
      <c r="A77" s="14">
        <v>45718</v>
      </c>
      <c r="B77" s="8" t="str">
        <f t="shared" si="26"/>
        <v>Quarter1</v>
      </c>
      <c r="C77" s="8" t="s">
        <v>465</v>
      </c>
      <c r="D77" s="8" t="str">
        <f t="shared" si="27"/>
        <v>DEL</v>
      </c>
      <c r="E77" s="8" t="s">
        <v>637</v>
      </c>
      <c r="F77" s="8" t="s">
        <v>485</v>
      </c>
      <c r="G77" s="8" t="s">
        <v>27</v>
      </c>
      <c r="H77" s="8" t="str">
        <f t="shared" si="28"/>
        <v>Approach</v>
      </c>
      <c r="I77" s="8" t="s">
        <v>639</v>
      </c>
      <c r="J77" s="13" t="s">
        <v>641</v>
      </c>
      <c r="K77" s="13" t="str">
        <f t="shared" si="23"/>
        <v>PAVANDEEP SINGH BHASIN | Go around</v>
      </c>
      <c r="L77" s="13" t="str">
        <f t="shared" si="24"/>
        <v>MOHIT KUMAR | Go around</v>
      </c>
      <c r="M77" s="13" t="str">
        <f t="shared" si="25"/>
        <v>DEL | Go around</v>
      </c>
      <c r="N77" s="8" t="str">
        <f t="shared" si="29"/>
        <v/>
      </c>
      <c r="O77" s="8" t="str">
        <f t="shared" si="30"/>
        <v/>
      </c>
      <c r="P77" s="8" t="str">
        <f t="shared" si="31"/>
        <v/>
      </c>
      <c r="Q77" s="8" t="str">
        <f t="shared" si="32"/>
        <v/>
      </c>
      <c r="R77" s="8" t="str">
        <f t="shared" si="33"/>
        <v/>
      </c>
      <c r="S77" s="8">
        <f t="shared" si="34"/>
        <v>41</v>
      </c>
      <c r="T77" s="8" t="str">
        <f t="shared" si="35"/>
        <v>Red</v>
      </c>
    </row>
    <row r="78" spans="1:20" ht="32" x14ac:dyDescent="0.2">
      <c r="A78" s="14">
        <v>45718</v>
      </c>
      <c r="B78" s="8" t="str">
        <f t="shared" si="26"/>
        <v>Quarter1</v>
      </c>
      <c r="C78" s="8" t="s">
        <v>487</v>
      </c>
      <c r="D78" s="8" t="str">
        <f t="shared" si="27"/>
        <v>DBR</v>
      </c>
      <c r="E78" s="8" t="s">
        <v>637</v>
      </c>
      <c r="F78" s="8" t="s">
        <v>485</v>
      </c>
      <c r="G78" s="8" t="s">
        <v>53</v>
      </c>
      <c r="H78" s="8" t="str">
        <f t="shared" si="28"/>
        <v>Approach</v>
      </c>
      <c r="I78" s="13" t="s">
        <v>115</v>
      </c>
      <c r="J78" s="13" t="s">
        <v>642</v>
      </c>
      <c r="K78" s="13" t="str">
        <f t="shared" si="23"/>
        <v>PAVANDEEP SINGH BHASIN | Low Rate of Descent (&lt;1000 ft)</v>
      </c>
      <c r="L78" s="13" t="str">
        <f t="shared" si="24"/>
        <v>MOHIT KUMAR | Low Rate of Descent (&lt;1000 ft)</v>
      </c>
      <c r="M78" s="13" t="str">
        <f t="shared" si="25"/>
        <v>DBR | Low Rate of Descent (&lt;1000 ft)</v>
      </c>
      <c r="N78" s="8">
        <f t="shared" si="29"/>
        <v>7</v>
      </c>
      <c r="O78" s="8" t="str">
        <f t="shared" si="30"/>
        <v/>
      </c>
      <c r="P78" s="8" t="str">
        <f t="shared" si="31"/>
        <v/>
      </c>
      <c r="Q78" s="8" t="str">
        <f t="shared" si="32"/>
        <v/>
      </c>
      <c r="R78" s="8" t="str">
        <f t="shared" si="33"/>
        <v/>
      </c>
      <c r="S78" s="8" t="str">
        <f t="shared" si="34"/>
        <v/>
      </c>
      <c r="T78" s="8" t="str">
        <f t="shared" si="35"/>
        <v>Red</v>
      </c>
    </row>
    <row r="79" spans="1:20" ht="16" x14ac:dyDescent="0.2">
      <c r="A79" s="14">
        <v>45719</v>
      </c>
      <c r="B79" s="8" t="str">
        <f t="shared" si="26"/>
        <v>Quarter1</v>
      </c>
      <c r="C79" s="8" t="s">
        <v>649</v>
      </c>
      <c r="D79" s="8" t="str">
        <f t="shared" si="27"/>
        <v>DEL</v>
      </c>
      <c r="E79" s="8" t="s">
        <v>650</v>
      </c>
      <c r="F79" s="8" t="s">
        <v>651</v>
      </c>
      <c r="G79" s="8" t="s">
        <v>27</v>
      </c>
      <c r="H79" s="8" t="str">
        <f t="shared" si="28"/>
        <v>Approach</v>
      </c>
      <c r="I79" s="8" t="s">
        <v>157</v>
      </c>
      <c r="J79" s="13" t="s">
        <v>658</v>
      </c>
      <c r="K79" s="13" t="str">
        <f t="shared" si="23"/>
        <v>MOHIT BHARDWAJ | Go around</v>
      </c>
      <c r="L79" s="13" t="str">
        <f t="shared" si="24"/>
        <v>ABHIMANYU JAMWAL. | Go around</v>
      </c>
      <c r="M79" s="13" t="str">
        <f t="shared" si="25"/>
        <v>DEL | Go around</v>
      </c>
      <c r="N79" s="8" t="str">
        <f t="shared" si="29"/>
        <v/>
      </c>
      <c r="O79" s="8" t="str">
        <f t="shared" si="30"/>
        <v/>
      </c>
      <c r="P79" s="8" t="str">
        <f t="shared" si="31"/>
        <v/>
      </c>
      <c r="Q79" s="8" t="str">
        <f t="shared" si="32"/>
        <v/>
      </c>
      <c r="R79" s="8" t="str">
        <f t="shared" si="33"/>
        <v/>
      </c>
      <c r="S79" s="8">
        <f t="shared" si="34"/>
        <v>1327</v>
      </c>
      <c r="T79" s="8" t="str">
        <f t="shared" si="35"/>
        <v>Red</v>
      </c>
    </row>
    <row r="80" spans="1:20" ht="32" x14ac:dyDescent="0.2">
      <c r="A80" s="14">
        <v>45719</v>
      </c>
      <c r="B80" s="8" t="str">
        <f t="shared" si="26"/>
        <v>Quarter1</v>
      </c>
      <c r="C80" s="8" t="s">
        <v>592</v>
      </c>
      <c r="D80" s="8" t="str">
        <f t="shared" si="27"/>
        <v>PAT</v>
      </c>
      <c r="E80" s="8" t="s">
        <v>587</v>
      </c>
      <c r="F80" s="8" t="s">
        <v>200</v>
      </c>
      <c r="G80" s="8" t="s">
        <v>39</v>
      </c>
      <c r="H80" s="8" t="str">
        <f t="shared" si="28"/>
        <v>Approach</v>
      </c>
      <c r="I80" s="8" t="s">
        <v>115</v>
      </c>
      <c r="J80" s="13" t="s">
        <v>659</v>
      </c>
      <c r="K80" s="13" t="str">
        <f t="shared" si="23"/>
        <v>SAURAV CHAKRABARTY | Deviation Below Glideslope (&lt;1000 ft)</v>
      </c>
      <c r="L80" s="13" t="str">
        <f t="shared" si="24"/>
        <v>NAMITA SHRIPAL CHAURASIA | Deviation Below Glideslope (&lt;1000 ft)</v>
      </c>
      <c r="M80" s="13" t="str">
        <f t="shared" si="25"/>
        <v>PAT | Deviation Below Glideslope (&lt;1000 ft)</v>
      </c>
      <c r="N80" s="8">
        <f t="shared" si="29"/>
        <v>10</v>
      </c>
      <c r="O80" s="8">
        <f t="shared" si="30"/>
        <v>1.96</v>
      </c>
      <c r="P80" s="8" t="str">
        <f t="shared" si="31"/>
        <v/>
      </c>
      <c r="Q80" s="8" t="str">
        <f t="shared" si="32"/>
        <v/>
      </c>
      <c r="R80" s="8" t="str">
        <f t="shared" si="33"/>
        <v/>
      </c>
      <c r="S80" s="8" t="str">
        <f t="shared" si="34"/>
        <v/>
      </c>
      <c r="T80" s="8" t="str">
        <f t="shared" si="35"/>
        <v>Red</v>
      </c>
    </row>
    <row r="81" spans="1:20" ht="32" x14ac:dyDescent="0.2">
      <c r="A81" s="14">
        <v>45719</v>
      </c>
      <c r="B81" s="8" t="str">
        <f t="shared" si="26"/>
        <v>Quarter1</v>
      </c>
      <c r="C81" s="8" t="s">
        <v>653</v>
      </c>
      <c r="D81" s="8" t="str">
        <f t="shared" si="27"/>
        <v>AMD</v>
      </c>
      <c r="E81" s="8" t="s">
        <v>646</v>
      </c>
      <c r="F81" s="8" t="s">
        <v>55</v>
      </c>
      <c r="G81" s="8" t="s">
        <v>529</v>
      </c>
      <c r="H81" s="8" t="str">
        <f t="shared" si="28"/>
        <v>Approach</v>
      </c>
      <c r="I81" s="8" t="s">
        <v>115</v>
      </c>
      <c r="J81" s="13" t="s">
        <v>660</v>
      </c>
      <c r="K81" s="13" t="str">
        <f t="shared" si="23"/>
        <v>NITIN DEV SAVLODIA | Approach Speed High (500-50 ft)</v>
      </c>
      <c r="L81" s="13" t="str">
        <f t="shared" si="24"/>
        <v>SHREYASKUMAR ANILKUMAR CHAUDHARI | Approach Speed High (500-50 ft)</v>
      </c>
      <c r="M81" s="13" t="str">
        <f t="shared" si="25"/>
        <v>AMD | Approach Speed High (500-50 ft)</v>
      </c>
      <c r="N81" s="8">
        <f t="shared" si="29"/>
        <v>4</v>
      </c>
      <c r="O81" s="8" t="str">
        <f t="shared" si="30"/>
        <v/>
      </c>
      <c r="P81" s="8">
        <f t="shared" si="31"/>
        <v>184</v>
      </c>
      <c r="Q81" s="8">
        <f t="shared" si="32"/>
        <v>156.5</v>
      </c>
      <c r="R81" s="8" t="str">
        <f t="shared" si="33"/>
        <v/>
      </c>
      <c r="S81" s="8" t="str">
        <f t="shared" si="34"/>
        <v/>
      </c>
      <c r="T81" s="8" t="str">
        <f t="shared" si="35"/>
        <v>Red</v>
      </c>
    </row>
    <row r="82" spans="1:20" ht="32" x14ac:dyDescent="0.2">
      <c r="A82" s="14">
        <v>45719</v>
      </c>
      <c r="B82" s="8" t="str">
        <f t="shared" si="26"/>
        <v>Quarter1</v>
      </c>
      <c r="C82" s="8" t="s">
        <v>111</v>
      </c>
      <c r="D82" s="8" t="str">
        <f t="shared" si="27"/>
        <v>SXR</v>
      </c>
      <c r="E82" s="8" t="s">
        <v>292</v>
      </c>
      <c r="F82" s="8" t="s">
        <v>664</v>
      </c>
      <c r="G82" s="8" t="s">
        <v>24</v>
      </c>
      <c r="H82" s="8" t="str">
        <f t="shared" si="28"/>
        <v>Approach</v>
      </c>
      <c r="I82" s="8" t="s">
        <v>115</v>
      </c>
      <c r="J82" s="13" t="s">
        <v>669</v>
      </c>
      <c r="K82" s="13" t="str">
        <f t="shared" si="23"/>
        <v>HARICHARAN SATYANARAYAN BANSAL | High Rate of Descent (500-100 ft)</v>
      </c>
      <c r="L82" s="13" t="str">
        <f t="shared" si="24"/>
        <v>ROHIT PANDEY | High Rate of Descent (500-100 ft)</v>
      </c>
      <c r="M82" s="13" t="str">
        <f t="shared" si="25"/>
        <v>SXR | High Rate of Descent (500-100 ft)</v>
      </c>
      <c r="N82" s="8">
        <f t="shared" si="29"/>
        <v>4</v>
      </c>
      <c r="O82" s="8" t="str">
        <f t="shared" si="30"/>
        <v/>
      </c>
      <c r="P82" s="8">
        <f t="shared" si="31"/>
        <v>384</v>
      </c>
      <c r="Q82" s="8" t="str">
        <f t="shared" si="32"/>
        <v/>
      </c>
      <c r="R82" s="8">
        <f t="shared" si="33"/>
        <v>1185</v>
      </c>
      <c r="S82" s="8" t="str">
        <f t="shared" si="34"/>
        <v/>
      </c>
      <c r="T82" s="8" t="str">
        <f t="shared" si="35"/>
        <v>Red</v>
      </c>
    </row>
    <row r="83" spans="1:20" ht="32" x14ac:dyDescent="0.2">
      <c r="A83" s="14">
        <v>45721</v>
      </c>
      <c r="B83" s="8" t="str">
        <f t="shared" si="26"/>
        <v>Quarter1</v>
      </c>
      <c r="C83" s="8" t="s">
        <v>678</v>
      </c>
      <c r="D83" s="8" t="str">
        <f t="shared" si="27"/>
        <v>IXZ</v>
      </c>
      <c r="E83" s="8" t="s">
        <v>650</v>
      </c>
      <c r="F83" s="8" t="s">
        <v>679</v>
      </c>
      <c r="G83" s="8" t="s">
        <v>289</v>
      </c>
      <c r="H83" s="8" t="str">
        <f t="shared" si="28"/>
        <v>Approach</v>
      </c>
      <c r="I83" s="8" t="s">
        <v>115</v>
      </c>
      <c r="J83" s="13" t="s">
        <v>693</v>
      </c>
      <c r="K83" s="13" t="str">
        <f t="shared" si="23"/>
        <v>MOHIT BHARDWAJ | Pitch Attitude Low at Landing</v>
      </c>
      <c r="L83" s="13" t="str">
        <f t="shared" si="24"/>
        <v>DIVYANG BAJPAI | Pitch Attitude Low at Landing</v>
      </c>
      <c r="M83" s="13" t="str">
        <f t="shared" si="25"/>
        <v>IXZ | Pitch Attitude Low at Landing</v>
      </c>
      <c r="N83" s="8" t="str">
        <f t="shared" si="29"/>
        <v/>
      </c>
      <c r="O83" s="8" t="str">
        <f t="shared" si="30"/>
        <v/>
      </c>
      <c r="P83" s="8" t="str">
        <f t="shared" si="31"/>
        <v/>
      </c>
      <c r="Q83" s="8" t="str">
        <f t="shared" si="32"/>
        <v/>
      </c>
      <c r="R83" s="8" t="str">
        <f t="shared" si="33"/>
        <v/>
      </c>
      <c r="S83" s="8" t="str">
        <f t="shared" si="34"/>
        <v/>
      </c>
      <c r="T83" s="8" t="str">
        <f t="shared" si="35"/>
        <v>Red</v>
      </c>
    </row>
    <row r="84" spans="1:20" ht="32" x14ac:dyDescent="0.2">
      <c r="A84" s="14">
        <v>45721</v>
      </c>
      <c r="B84" s="8" t="str">
        <f t="shared" si="26"/>
        <v>Quarter1</v>
      </c>
      <c r="C84" s="13" t="s">
        <v>683</v>
      </c>
      <c r="D84" s="8" t="str">
        <f t="shared" si="27"/>
        <v>DEL</v>
      </c>
      <c r="E84" s="13" t="s">
        <v>684</v>
      </c>
      <c r="F84" s="13" t="s">
        <v>312</v>
      </c>
      <c r="G84" s="8" t="s">
        <v>529</v>
      </c>
      <c r="H84" s="8" t="str">
        <f t="shared" si="28"/>
        <v>Approach</v>
      </c>
      <c r="I84" s="13" t="s">
        <v>115</v>
      </c>
      <c r="J84" s="13" t="s">
        <v>695</v>
      </c>
      <c r="K84" s="13" t="str">
        <f t="shared" si="23"/>
        <v>DIVYANSHU CHATURVEDI | Approach Speed High (500-50 ft)</v>
      </c>
      <c r="L84" s="13" t="str">
        <f t="shared" si="24"/>
        <v>ASHISH JAYASWAL | Approach Speed High (500-50 ft)</v>
      </c>
      <c r="M84" s="13" t="str">
        <f t="shared" si="25"/>
        <v>DEL | Approach Speed High (500-50 ft)</v>
      </c>
      <c r="N84" s="8">
        <f t="shared" si="29"/>
        <v>5</v>
      </c>
      <c r="O84" s="8" t="str">
        <f t="shared" si="30"/>
        <v/>
      </c>
      <c r="P84" s="8">
        <f t="shared" si="31"/>
        <v>407</v>
      </c>
      <c r="Q84" s="8">
        <f t="shared" si="32"/>
        <v>161.5</v>
      </c>
      <c r="R84" s="8" t="str">
        <f t="shared" si="33"/>
        <v/>
      </c>
      <c r="S84" s="8" t="str">
        <f t="shared" si="34"/>
        <v/>
      </c>
      <c r="T84" s="8" t="str">
        <f t="shared" si="35"/>
        <v>Red</v>
      </c>
    </row>
    <row r="85" spans="1:20" ht="32" x14ac:dyDescent="0.2">
      <c r="A85" s="14">
        <v>45722</v>
      </c>
      <c r="B85" s="8" t="str">
        <f t="shared" si="26"/>
        <v>Quarter1</v>
      </c>
      <c r="C85" s="13" t="s">
        <v>688</v>
      </c>
      <c r="D85" s="8" t="str">
        <f t="shared" si="27"/>
        <v>GOP</v>
      </c>
      <c r="E85" s="13" t="s">
        <v>689</v>
      </c>
      <c r="F85" s="13" t="s">
        <v>461</v>
      </c>
      <c r="G85" s="8" t="s">
        <v>39</v>
      </c>
      <c r="H85" s="8" t="str">
        <f t="shared" si="28"/>
        <v>Approach</v>
      </c>
      <c r="I85" s="13" t="s">
        <v>115</v>
      </c>
      <c r="J85" s="13" t="s">
        <v>697</v>
      </c>
      <c r="K85" s="13" t="str">
        <f t="shared" si="23"/>
        <v>RUPALI RAJESH PHATAK | Deviation Below Glideslope (&lt;1000 ft)</v>
      </c>
      <c r="L85" s="13" t="str">
        <f t="shared" si="24"/>
        <v>BHAKTI KIRAN BAGARIA | Deviation Below Glideslope (&lt;1000 ft)</v>
      </c>
      <c r="M85" s="13" t="str">
        <f t="shared" si="25"/>
        <v>GOP | Deviation Below Glideslope (&lt;1000 ft)</v>
      </c>
      <c r="N85" s="8">
        <f t="shared" si="29"/>
        <v>5</v>
      </c>
      <c r="O85" s="8">
        <f t="shared" si="30"/>
        <v>1.23</v>
      </c>
      <c r="P85" s="8" t="str">
        <f t="shared" si="31"/>
        <v/>
      </c>
      <c r="Q85" s="8" t="str">
        <f t="shared" si="32"/>
        <v/>
      </c>
      <c r="R85" s="8" t="str">
        <f t="shared" si="33"/>
        <v/>
      </c>
      <c r="S85" s="8" t="str">
        <f t="shared" si="34"/>
        <v/>
      </c>
      <c r="T85" s="8" t="str">
        <f t="shared" si="35"/>
        <v>Red</v>
      </c>
    </row>
    <row r="86" spans="1:20" ht="16" x14ac:dyDescent="0.2">
      <c r="A86" s="14">
        <v>45724</v>
      </c>
      <c r="B86" s="8" t="str">
        <f t="shared" si="26"/>
        <v>Quarter1</v>
      </c>
      <c r="C86" s="8" t="s">
        <v>708</v>
      </c>
      <c r="D86" s="8" t="str">
        <f t="shared" si="27"/>
        <v>IXZ</v>
      </c>
      <c r="E86" s="8" t="s">
        <v>252</v>
      </c>
      <c r="F86" s="8" t="s">
        <v>304</v>
      </c>
      <c r="G86" s="8" t="s">
        <v>709</v>
      </c>
      <c r="H86" s="8" t="str">
        <f t="shared" si="28"/>
        <v>Climb</v>
      </c>
      <c r="I86" s="8" t="s">
        <v>428</v>
      </c>
      <c r="J86" s="22" t="s">
        <v>718</v>
      </c>
      <c r="K86" s="13" t="str">
        <f t="shared" si="23"/>
        <v>SAHIL TALWAR | Pitch Attitude High at Take-off</v>
      </c>
      <c r="L86" s="13" t="str">
        <f t="shared" si="24"/>
        <v>SANDEEP PHUTELA | Pitch Attitude High at Take-off</v>
      </c>
      <c r="M86" s="13" t="str">
        <f t="shared" si="25"/>
        <v>IXZ | Pitch Attitude High at Take-off</v>
      </c>
      <c r="N86" s="8" t="str">
        <f t="shared" si="29"/>
        <v/>
      </c>
      <c r="O86" s="8" t="str">
        <f t="shared" si="30"/>
        <v/>
      </c>
      <c r="P86" s="8" t="str">
        <f t="shared" si="31"/>
        <v/>
      </c>
      <c r="Q86" s="8" t="str">
        <f t="shared" si="32"/>
        <v/>
      </c>
      <c r="R86" s="8" t="str">
        <f t="shared" si="33"/>
        <v/>
      </c>
      <c r="S86" s="8" t="str">
        <f t="shared" si="34"/>
        <v/>
      </c>
      <c r="T86" s="8" t="str">
        <f t="shared" si="35"/>
        <v>Red</v>
      </c>
    </row>
    <row r="87" spans="1:20" ht="64" x14ac:dyDescent="0.2">
      <c r="A87" s="14">
        <v>45725</v>
      </c>
      <c r="B87" s="8" t="str">
        <f t="shared" si="26"/>
        <v>Quarter1</v>
      </c>
      <c r="C87" s="8" t="s">
        <v>45</v>
      </c>
      <c r="D87" s="8" t="str">
        <f t="shared" si="27"/>
        <v>AMD</v>
      </c>
      <c r="E87" s="8" t="s">
        <v>713</v>
      </c>
      <c r="F87" s="8" t="s">
        <v>92</v>
      </c>
      <c r="G87" s="8" t="s">
        <v>64</v>
      </c>
      <c r="H87" s="8" t="str">
        <f t="shared" si="28"/>
        <v>Approach</v>
      </c>
      <c r="I87" s="8" t="s">
        <v>428</v>
      </c>
      <c r="J87" s="22" t="s">
        <v>722</v>
      </c>
      <c r="K87" s="13" t="str">
        <f t="shared" si="23"/>
        <v>BIHAAG BRAHMBHATT | Long Landing</v>
      </c>
      <c r="L87" s="13" t="str">
        <f t="shared" si="24"/>
        <v>NAMIT DANG | Long Landing</v>
      </c>
      <c r="M87" s="13" t="str">
        <f t="shared" si="25"/>
        <v>AMD | Long Landing</v>
      </c>
      <c r="N87" s="8" t="str">
        <f t="shared" si="29"/>
        <v/>
      </c>
      <c r="O87" s="8" t="str">
        <f t="shared" si="30"/>
        <v/>
      </c>
      <c r="P87" s="8" t="str">
        <f t="shared" si="31"/>
        <v/>
      </c>
      <c r="Q87" s="8" t="str">
        <f t="shared" si="32"/>
        <v/>
      </c>
      <c r="R87" s="8" t="str">
        <f t="shared" si="33"/>
        <v/>
      </c>
      <c r="S87" s="8">
        <f t="shared" si="34"/>
        <v>53</v>
      </c>
      <c r="T87" s="8" t="str">
        <f t="shared" si="35"/>
        <v>Red</v>
      </c>
    </row>
    <row r="88" spans="1:20" ht="16" x14ac:dyDescent="0.2">
      <c r="A88" s="14">
        <v>45725</v>
      </c>
      <c r="B88" s="8" t="str">
        <f t="shared" si="26"/>
        <v>Quarter1</v>
      </c>
      <c r="C88" s="8" t="s">
        <v>146</v>
      </c>
      <c r="D88" s="8" t="str">
        <f t="shared" si="27"/>
        <v>PNQ</v>
      </c>
      <c r="E88" s="8" t="s">
        <v>714</v>
      </c>
      <c r="F88" s="8" t="s">
        <v>507</v>
      </c>
      <c r="G88" s="8" t="s">
        <v>715</v>
      </c>
      <c r="H88" s="8" t="str">
        <f t="shared" si="28"/>
        <v>Approach</v>
      </c>
      <c r="I88" s="8" t="s">
        <v>203</v>
      </c>
      <c r="J88" s="13" t="s">
        <v>723</v>
      </c>
      <c r="K88" s="13" t="str">
        <f t="shared" si="23"/>
        <v>NILESH KUMAR NONHARE | MAX EGT/ITT (Continuous) #1</v>
      </c>
      <c r="L88" s="13" t="str">
        <f t="shared" si="24"/>
        <v>AKASH SANDHU | MAX EGT/ITT (Continuous) #1</v>
      </c>
      <c r="M88" s="13" t="str">
        <f t="shared" si="25"/>
        <v>PNQ | MAX EGT/ITT (Continuous) #1</v>
      </c>
      <c r="N88" s="8">
        <f t="shared" si="29"/>
        <v>13</v>
      </c>
      <c r="O88" s="8" t="str">
        <f t="shared" si="30"/>
        <v/>
      </c>
      <c r="P88" s="8" t="str">
        <f t="shared" si="31"/>
        <v/>
      </c>
      <c r="Q88" s="8" t="str">
        <f t="shared" si="32"/>
        <v/>
      </c>
      <c r="R88" s="8" t="str">
        <f t="shared" si="33"/>
        <v/>
      </c>
      <c r="S88" s="8" t="str">
        <f t="shared" si="34"/>
        <v/>
      </c>
      <c r="T88" s="8" t="str">
        <f t="shared" si="35"/>
        <v>Red</v>
      </c>
    </row>
    <row r="89" spans="1:20" ht="16" x14ac:dyDescent="0.2">
      <c r="A89" s="14">
        <v>45729</v>
      </c>
      <c r="B89" s="8" t="str">
        <f t="shared" si="26"/>
        <v>Quarter1</v>
      </c>
      <c r="C89" s="8" t="s">
        <v>592</v>
      </c>
      <c r="D89" s="8" t="str">
        <f t="shared" si="27"/>
        <v>PAT</v>
      </c>
      <c r="E89" s="8" t="s">
        <v>134</v>
      </c>
      <c r="F89" s="8" t="s">
        <v>184</v>
      </c>
      <c r="G89" s="8" t="s">
        <v>38</v>
      </c>
      <c r="H89" s="8" t="str">
        <f t="shared" si="28"/>
        <v>Approach</v>
      </c>
      <c r="I89" s="13" t="s">
        <v>115</v>
      </c>
      <c r="J89" s="13" t="s">
        <v>744</v>
      </c>
      <c r="K89" s="13" t="str">
        <f t="shared" si="23"/>
        <v>DARSHAN DALAL | GPWS (GLIDESLOPE)</v>
      </c>
      <c r="L89" s="13" t="str">
        <f t="shared" si="24"/>
        <v>RUCHIR MANDAVIA | GPWS (GLIDESLOPE)</v>
      </c>
      <c r="M89" s="13" t="str">
        <f t="shared" si="25"/>
        <v>PAT | GPWS (GLIDESLOPE)</v>
      </c>
      <c r="N89" s="8">
        <f t="shared" si="29"/>
        <v>1</v>
      </c>
      <c r="O89" s="8" t="str">
        <f t="shared" si="30"/>
        <v/>
      </c>
      <c r="P89" s="8" t="str">
        <f t="shared" si="31"/>
        <v/>
      </c>
      <c r="Q89" s="8" t="str">
        <f t="shared" si="32"/>
        <v/>
      </c>
      <c r="R89" s="8" t="str">
        <f t="shared" si="33"/>
        <v/>
      </c>
      <c r="S89" s="8">
        <f t="shared" si="34"/>
        <v>169</v>
      </c>
      <c r="T89" s="8" t="str">
        <f t="shared" si="35"/>
        <v>Red</v>
      </c>
    </row>
    <row r="90" spans="1:20" ht="32" x14ac:dyDescent="0.2">
      <c r="A90" s="14">
        <v>45729</v>
      </c>
      <c r="B90" s="8" t="str">
        <f t="shared" si="26"/>
        <v>Quarter1</v>
      </c>
      <c r="C90" s="8" t="s">
        <v>592</v>
      </c>
      <c r="D90" s="8" t="str">
        <f t="shared" si="27"/>
        <v>PAT</v>
      </c>
      <c r="E90" s="8" t="s">
        <v>134</v>
      </c>
      <c r="F90" s="8" t="s">
        <v>184</v>
      </c>
      <c r="G90" s="8" t="s">
        <v>39</v>
      </c>
      <c r="H90" s="8" t="str">
        <f t="shared" si="28"/>
        <v>Approach</v>
      </c>
      <c r="I90" s="13" t="s">
        <v>115</v>
      </c>
      <c r="J90" s="13" t="s">
        <v>745</v>
      </c>
      <c r="K90" s="13" t="str">
        <f t="shared" si="23"/>
        <v>DARSHAN DALAL | Deviation Below Glideslope (&lt;1000 ft)</v>
      </c>
      <c r="L90" s="13" t="str">
        <f t="shared" si="24"/>
        <v>RUCHIR MANDAVIA | Deviation Below Glideslope (&lt;1000 ft)</v>
      </c>
      <c r="M90" s="13" t="str">
        <f t="shared" si="25"/>
        <v>PAT | Deviation Below Glideslope (&lt;1000 ft)</v>
      </c>
      <c r="N90" s="8">
        <f t="shared" si="29"/>
        <v>5</v>
      </c>
      <c r="O90" s="8">
        <f t="shared" si="30"/>
        <v>1.5</v>
      </c>
      <c r="P90" s="8" t="str">
        <f t="shared" si="31"/>
        <v/>
      </c>
      <c r="Q90" s="8" t="str">
        <f t="shared" si="32"/>
        <v/>
      </c>
      <c r="R90" s="8" t="str">
        <f t="shared" si="33"/>
        <v/>
      </c>
      <c r="S90" s="8" t="str">
        <f t="shared" si="34"/>
        <v/>
      </c>
      <c r="T90" s="8" t="str">
        <f t="shared" si="35"/>
        <v>Red</v>
      </c>
    </row>
    <row r="91" spans="1:20" ht="48" x14ac:dyDescent="0.2">
      <c r="A91" s="14">
        <v>45730</v>
      </c>
      <c r="B91" s="8" t="str">
        <f t="shared" si="26"/>
        <v>Quarter1</v>
      </c>
      <c r="C91" s="8" t="s">
        <v>747</v>
      </c>
      <c r="D91" s="8" t="str">
        <f t="shared" si="27"/>
        <v>BLR</v>
      </c>
      <c r="E91" s="8" t="s">
        <v>361</v>
      </c>
      <c r="F91" s="8" t="s">
        <v>195</v>
      </c>
      <c r="G91" s="8" t="s">
        <v>403</v>
      </c>
      <c r="H91" s="8" t="str">
        <f t="shared" si="28"/>
        <v>Approach</v>
      </c>
      <c r="I91" s="13" t="s">
        <v>115</v>
      </c>
      <c r="J91" s="13" t="s">
        <v>755</v>
      </c>
      <c r="K91" s="13" t="str">
        <f t="shared" si="23"/>
        <v>SNEHA SHEKHAWAT | Late Thrust Reverser Deployment</v>
      </c>
      <c r="L91" s="13" t="str">
        <f t="shared" si="24"/>
        <v>SAMEL MAKHIJA | Late Thrust Reverser Deployment</v>
      </c>
      <c r="M91" s="13" t="str">
        <f t="shared" si="25"/>
        <v>BLR | Late Thrust Reverser Deployment</v>
      </c>
      <c r="N91" s="8">
        <f t="shared" si="29"/>
        <v>5</v>
      </c>
      <c r="O91" s="8" t="str">
        <f t="shared" si="30"/>
        <v/>
      </c>
      <c r="P91" s="8" t="str">
        <f t="shared" si="31"/>
        <v/>
      </c>
      <c r="Q91" s="8" t="str">
        <f t="shared" si="32"/>
        <v/>
      </c>
      <c r="R91" s="8" t="str">
        <f t="shared" si="33"/>
        <v/>
      </c>
      <c r="S91" s="8" t="str">
        <f t="shared" si="34"/>
        <v/>
      </c>
      <c r="T91" s="8" t="str">
        <f t="shared" si="35"/>
        <v>Red</v>
      </c>
    </row>
    <row r="92" spans="1:20" ht="16" x14ac:dyDescent="0.2">
      <c r="A92" s="14">
        <v>45730</v>
      </c>
      <c r="B92" s="8" t="str">
        <f t="shared" si="26"/>
        <v>Quarter1</v>
      </c>
      <c r="C92" s="8" t="s">
        <v>299</v>
      </c>
      <c r="D92" s="8" t="str">
        <f t="shared" si="27"/>
        <v>DEL</v>
      </c>
      <c r="E92" s="8" t="s">
        <v>374</v>
      </c>
      <c r="F92" s="8" t="s">
        <v>288</v>
      </c>
      <c r="G92" s="8" t="s">
        <v>27</v>
      </c>
      <c r="H92" s="8" t="str">
        <f t="shared" si="28"/>
        <v>Approach</v>
      </c>
      <c r="I92" s="8" t="s">
        <v>157</v>
      </c>
      <c r="J92" s="13" t="s">
        <v>756</v>
      </c>
      <c r="K92" s="13" t="str">
        <f t="shared" si="23"/>
        <v>HIMANI SAREEN | Go around</v>
      </c>
      <c r="L92" s="13" t="str">
        <f t="shared" si="24"/>
        <v>RAKSHITA MALIK | Go around</v>
      </c>
      <c r="M92" s="13" t="str">
        <f t="shared" si="25"/>
        <v>DEL | Go around</v>
      </c>
      <c r="N92" s="8" t="str">
        <f t="shared" si="29"/>
        <v/>
      </c>
      <c r="O92" s="8" t="str">
        <f t="shared" si="30"/>
        <v/>
      </c>
      <c r="P92" s="8" t="str">
        <f t="shared" si="31"/>
        <v/>
      </c>
      <c r="Q92" s="8" t="str">
        <f t="shared" si="32"/>
        <v/>
      </c>
      <c r="R92" s="8" t="str">
        <f t="shared" si="33"/>
        <v/>
      </c>
      <c r="S92" s="8">
        <f t="shared" si="34"/>
        <v>152</v>
      </c>
      <c r="T92" s="8" t="str">
        <f t="shared" si="35"/>
        <v>Red</v>
      </c>
    </row>
    <row r="93" spans="1:20" ht="16" x14ac:dyDescent="0.2">
      <c r="A93" s="14">
        <v>45730</v>
      </c>
      <c r="B93" s="8" t="str">
        <f t="shared" si="26"/>
        <v>Quarter1</v>
      </c>
      <c r="C93" s="8" t="s">
        <v>299</v>
      </c>
      <c r="D93" s="8" t="str">
        <f t="shared" si="27"/>
        <v>DEL</v>
      </c>
      <c r="E93" s="8" t="s">
        <v>374</v>
      </c>
      <c r="F93" s="8" t="s">
        <v>288</v>
      </c>
      <c r="G93" s="8" t="s">
        <v>38</v>
      </c>
      <c r="H93" s="8" t="str">
        <f t="shared" si="28"/>
        <v>Approach</v>
      </c>
      <c r="I93" s="8" t="s">
        <v>428</v>
      </c>
      <c r="J93" s="13" t="s">
        <v>757</v>
      </c>
      <c r="K93" s="13" t="str">
        <f t="shared" si="23"/>
        <v>HIMANI SAREEN | GPWS (GLIDESLOPE)</v>
      </c>
      <c r="L93" s="13" t="str">
        <f t="shared" si="24"/>
        <v>RAKSHITA MALIK | GPWS (GLIDESLOPE)</v>
      </c>
      <c r="M93" s="13" t="str">
        <f t="shared" si="25"/>
        <v>DEL | GPWS (GLIDESLOPE)</v>
      </c>
      <c r="N93" s="8">
        <f t="shared" si="29"/>
        <v>2</v>
      </c>
      <c r="O93" s="8" t="str">
        <f t="shared" si="30"/>
        <v/>
      </c>
      <c r="P93" s="8" t="str">
        <f t="shared" si="31"/>
        <v/>
      </c>
      <c r="Q93" s="8" t="str">
        <f t="shared" si="32"/>
        <v/>
      </c>
      <c r="R93" s="8" t="str">
        <f t="shared" si="33"/>
        <v/>
      </c>
      <c r="S93" s="8" t="str">
        <f t="shared" si="34"/>
        <v/>
      </c>
      <c r="T93" s="8" t="str">
        <f t="shared" si="35"/>
        <v>Red</v>
      </c>
    </row>
    <row r="94" spans="1:20" ht="32" x14ac:dyDescent="0.2">
      <c r="A94" s="14">
        <v>45730</v>
      </c>
      <c r="B94" s="8" t="str">
        <f t="shared" si="26"/>
        <v>Quarter1</v>
      </c>
      <c r="C94" s="8" t="s">
        <v>299</v>
      </c>
      <c r="D94" s="8" t="str">
        <f t="shared" si="27"/>
        <v>DEL</v>
      </c>
      <c r="E94" s="8" t="s">
        <v>374</v>
      </c>
      <c r="F94" s="8" t="s">
        <v>288</v>
      </c>
      <c r="G94" s="8" t="s">
        <v>749</v>
      </c>
      <c r="H94" s="8" t="str">
        <f t="shared" si="28"/>
        <v>Approach</v>
      </c>
      <c r="I94" s="8" t="s">
        <v>428</v>
      </c>
      <c r="J94" s="13" t="s">
        <v>758</v>
      </c>
      <c r="K94" s="13" t="str">
        <f t="shared" si="23"/>
        <v>HIMANI SAREEN | Deviation Below Glideslope&lt;1000 ft</v>
      </c>
      <c r="L94" s="13" t="str">
        <f t="shared" si="24"/>
        <v>RAKSHITA MALIK | Deviation Below Glideslope&lt;1000 ft</v>
      </c>
      <c r="M94" s="13" t="str">
        <f t="shared" si="25"/>
        <v>DEL | Deviation Below Glideslope&lt;1000 ft</v>
      </c>
      <c r="N94" s="8">
        <f t="shared" si="29"/>
        <v>8</v>
      </c>
      <c r="O94" s="8" t="str">
        <f t="shared" si="30"/>
        <v/>
      </c>
      <c r="P94" s="8" t="str">
        <f t="shared" si="31"/>
        <v/>
      </c>
      <c r="Q94" s="8" t="str">
        <f t="shared" si="32"/>
        <v/>
      </c>
      <c r="R94" s="8" t="str">
        <f t="shared" si="33"/>
        <v/>
      </c>
      <c r="S94" s="8" t="str">
        <f t="shared" si="34"/>
        <v/>
      </c>
      <c r="T94" s="8" t="str">
        <f t="shared" si="35"/>
        <v>Red</v>
      </c>
    </row>
    <row r="95" spans="1:20" ht="16" x14ac:dyDescent="0.2">
      <c r="A95" s="14">
        <v>45730</v>
      </c>
      <c r="B95" s="8" t="str">
        <f t="shared" si="26"/>
        <v>Quarter1</v>
      </c>
      <c r="C95" s="8" t="s">
        <v>299</v>
      </c>
      <c r="D95" s="8" t="str">
        <f t="shared" si="27"/>
        <v>DEL</v>
      </c>
      <c r="E95" s="8" t="s">
        <v>374</v>
      </c>
      <c r="F95" s="8" t="s">
        <v>288</v>
      </c>
      <c r="G95" s="8" t="s">
        <v>750</v>
      </c>
      <c r="H95" s="8" t="str">
        <f t="shared" si="28"/>
        <v>Approach</v>
      </c>
      <c r="I95" s="8" t="s">
        <v>203</v>
      </c>
      <c r="J95" s="13" t="s">
        <v>759</v>
      </c>
      <c r="K95" s="13" t="str">
        <f t="shared" si="23"/>
        <v>HIMANI SAREEN | Windshear Warning</v>
      </c>
      <c r="L95" s="13" t="str">
        <f t="shared" si="24"/>
        <v>RAKSHITA MALIK | Windshear Warning</v>
      </c>
      <c r="M95" s="13" t="str">
        <f t="shared" si="25"/>
        <v>DEL | Windshear Warning</v>
      </c>
      <c r="N95" s="8">
        <f t="shared" si="29"/>
        <v>5</v>
      </c>
      <c r="O95" s="8" t="str">
        <f t="shared" si="30"/>
        <v/>
      </c>
      <c r="P95" s="8" t="str">
        <f t="shared" si="31"/>
        <v/>
      </c>
      <c r="Q95" s="8" t="str">
        <f t="shared" si="32"/>
        <v/>
      </c>
      <c r="R95" s="8" t="str">
        <f t="shared" si="33"/>
        <v/>
      </c>
      <c r="S95" s="8" t="str">
        <f t="shared" si="34"/>
        <v/>
      </c>
      <c r="T95" s="8" t="str">
        <f t="shared" si="35"/>
        <v>Red</v>
      </c>
    </row>
    <row r="96" spans="1:20" ht="16" x14ac:dyDescent="0.2">
      <c r="A96" s="14">
        <v>45730</v>
      </c>
      <c r="B96" s="8" t="str">
        <f t="shared" si="26"/>
        <v>Quarter1</v>
      </c>
      <c r="C96" s="8" t="s">
        <v>315</v>
      </c>
      <c r="D96" s="8" t="str">
        <f t="shared" si="27"/>
        <v>DEL</v>
      </c>
      <c r="E96" s="8" t="s">
        <v>485</v>
      </c>
      <c r="F96" s="8" t="s">
        <v>751</v>
      </c>
      <c r="G96" s="8" t="s">
        <v>38</v>
      </c>
      <c r="H96" s="8" t="str">
        <f t="shared" si="28"/>
        <v>Approach</v>
      </c>
      <c r="I96" s="8" t="s">
        <v>203</v>
      </c>
      <c r="J96" s="13" t="s">
        <v>760</v>
      </c>
      <c r="K96" s="13" t="str">
        <f t="shared" si="23"/>
        <v>MOHIT KUMAR | GPWS (GLIDESLOPE)</v>
      </c>
      <c r="L96" s="13" t="str">
        <f t="shared" si="24"/>
        <v>NAPINDER JEET KAUR | GPWS (GLIDESLOPE)</v>
      </c>
      <c r="M96" s="13" t="str">
        <f t="shared" si="25"/>
        <v>DEL | GPWS (GLIDESLOPE)</v>
      </c>
      <c r="N96" s="8">
        <f t="shared" si="29"/>
        <v>2</v>
      </c>
      <c r="O96" s="8" t="str">
        <f t="shared" si="30"/>
        <v/>
      </c>
      <c r="P96" s="8" t="str">
        <f t="shared" si="31"/>
        <v/>
      </c>
      <c r="Q96" s="8" t="str">
        <f t="shared" si="32"/>
        <v/>
      </c>
      <c r="R96" s="8" t="str">
        <f t="shared" si="33"/>
        <v/>
      </c>
      <c r="S96" s="8" t="str">
        <f t="shared" si="34"/>
        <v/>
      </c>
      <c r="T96" s="8" t="str">
        <f t="shared" si="35"/>
        <v>Red</v>
      </c>
    </row>
    <row r="97" spans="1:20" ht="32" x14ac:dyDescent="0.2">
      <c r="A97" s="12">
        <v>45730</v>
      </c>
      <c r="B97" s="8" t="str">
        <f t="shared" si="26"/>
        <v>Quarter1</v>
      </c>
      <c r="C97" s="13" t="s">
        <v>315</v>
      </c>
      <c r="D97" s="8" t="str">
        <f t="shared" si="27"/>
        <v>DEL</v>
      </c>
      <c r="E97" s="13" t="s">
        <v>485</v>
      </c>
      <c r="F97" s="8" t="s">
        <v>751</v>
      </c>
      <c r="G97" s="13" t="s">
        <v>53</v>
      </c>
      <c r="H97" s="8" t="str">
        <f t="shared" si="28"/>
        <v>Approach</v>
      </c>
      <c r="I97" s="8" t="s">
        <v>203</v>
      </c>
      <c r="J97" s="13" t="s">
        <v>761</v>
      </c>
      <c r="K97" s="13" t="str">
        <f t="shared" si="23"/>
        <v>MOHIT KUMAR | Low Rate of Descent (&lt;1000 ft)</v>
      </c>
      <c r="L97" s="13" t="str">
        <f t="shared" si="24"/>
        <v>NAPINDER JEET KAUR | Low Rate of Descent (&lt;1000 ft)</v>
      </c>
      <c r="M97" s="13" t="str">
        <f t="shared" si="25"/>
        <v>DEL | Low Rate of Descent (&lt;1000 ft)</v>
      </c>
      <c r="N97" s="8">
        <f t="shared" si="29"/>
        <v>6</v>
      </c>
      <c r="O97" s="8" t="str">
        <f t="shared" si="30"/>
        <v/>
      </c>
      <c r="P97" s="8" t="str">
        <f t="shared" si="31"/>
        <v/>
      </c>
      <c r="Q97" s="8" t="str">
        <f t="shared" si="32"/>
        <v/>
      </c>
      <c r="R97" s="8" t="str">
        <f t="shared" si="33"/>
        <v/>
      </c>
      <c r="S97" s="8" t="str">
        <f t="shared" si="34"/>
        <v/>
      </c>
      <c r="T97" s="8" t="str">
        <f t="shared" si="35"/>
        <v>Red</v>
      </c>
    </row>
    <row r="98" spans="1:20" ht="16" x14ac:dyDescent="0.2">
      <c r="A98" s="14">
        <v>45733</v>
      </c>
      <c r="B98" s="8" t="str">
        <f t="shared" si="26"/>
        <v>Quarter1</v>
      </c>
      <c r="C98" s="8" t="s">
        <v>311</v>
      </c>
      <c r="D98" s="8" t="str">
        <f t="shared" si="27"/>
        <v>IXL</v>
      </c>
      <c r="E98" s="8" t="s">
        <v>703</v>
      </c>
      <c r="F98" s="8" t="s">
        <v>335</v>
      </c>
      <c r="G98" s="8" t="s">
        <v>78</v>
      </c>
      <c r="H98" s="8" t="str">
        <f t="shared" si="28"/>
        <v>Approach</v>
      </c>
      <c r="I98" s="13" t="s">
        <v>115</v>
      </c>
      <c r="J98" s="13" t="s">
        <v>790</v>
      </c>
      <c r="K98" s="13" t="str">
        <f t="shared" si="23"/>
        <v>DHRUV MITAL | High Vertical Acceleration (Landing)</v>
      </c>
      <c r="L98" s="13" t="str">
        <f t="shared" si="24"/>
        <v>PRITAM HINDUJA | High Vertical Acceleration (Landing)</v>
      </c>
      <c r="M98" s="13" t="str">
        <f t="shared" si="25"/>
        <v>IXL | High Vertical Acceleration (Landing)</v>
      </c>
      <c r="N98" s="8" t="str">
        <f t="shared" si="29"/>
        <v/>
      </c>
      <c r="O98" s="8" t="str">
        <f t="shared" si="30"/>
        <v/>
      </c>
      <c r="P98" s="8" t="str">
        <f t="shared" si="31"/>
        <v/>
      </c>
      <c r="Q98" s="8" t="str">
        <f t="shared" si="32"/>
        <v/>
      </c>
      <c r="R98" s="8" t="str">
        <f t="shared" si="33"/>
        <v/>
      </c>
      <c r="S98" s="8" t="str">
        <f t="shared" si="34"/>
        <v/>
      </c>
      <c r="T98" s="8" t="str">
        <f t="shared" si="35"/>
        <v>Red</v>
      </c>
    </row>
    <row r="99" spans="1:20" ht="16" x14ac:dyDescent="0.2">
      <c r="A99" s="14">
        <v>45733</v>
      </c>
      <c r="B99" s="8" t="str">
        <f t="shared" si="26"/>
        <v>Quarter1</v>
      </c>
      <c r="C99" s="8" t="s">
        <v>315</v>
      </c>
      <c r="D99" s="8" t="str">
        <f t="shared" si="27"/>
        <v>DEL</v>
      </c>
      <c r="E99" s="8" t="s">
        <v>674</v>
      </c>
      <c r="F99" s="8" t="s">
        <v>554</v>
      </c>
      <c r="G99" s="8" t="s">
        <v>778</v>
      </c>
      <c r="H99" s="8" t="str">
        <f t="shared" si="28"/>
        <v>Approach</v>
      </c>
      <c r="I99" s="13" t="s">
        <v>115</v>
      </c>
      <c r="J99" s="13" t="s">
        <v>791</v>
      </c>
      <c r="K99" s="13" t="str">
        <f t="shared" si="23"/>
        <v>ARIHANT JAIN | MAX EGT/ITT (Continuous) #2</v>
      </c>
      <c r="L99" s="13" t="str">
        <f t="shared" si="24"/>
        <v>RITURAJ JAISWAL | MAX EGT/ITT (Continuous) #2</v>
      </c>
      <c r="M99" s="13" t="str">
        <f t="shared" si="25"/>
        <v>DEL | MAX EGT/ITT (Continuous) #2</v>
      </c>
      <c r="N99" s="8">
        <f t="shared" si="29"/>
        <v>4</v>
      </c>
      <c r="O99" s="8" t="str">
        <f t="shared" si="30"/>
        <v/>
      </c>
      <c r="P99" s="8" t="str">
        <f t="shared" si="31"/>
        <v/>
      </c>
      <c r="Q99" s="8" t="str">
        <f t="shared" si="32"/>
        <v/>
      </c>
      <c r="R99" s="8" t="str">
        <f t="shared" si="33"/>
        <v/>
      </c>
      <c r="S99" s="8" t="str">
        <f t="shared" si="34"/>
        <v/>
      </c>
      <c r="T99" s="8" t="str">
        <f t="shared" si="35"/>
        <v>Red</v>
      </c>
    </row>
    <row r="100" spans="1:20" ht="32" x14ac:dyDescent="0.2">
      <c r="A100" s="20">
        <v>45729</v>
      </c>
      <c r="B100" s="8" t="str">
        <f t="shared" si="26"/>
        <v>Quarter1</v>
      </c>
      <c r="C100" s="8" t="s">
        <v>783</v>
      </c>
      <c r="D100" s="8" t="str">
        <f t="shared" si="27"/>
        <v>PAT</v>
      </c>
      <c r="E100" s="8" t="s">
        <v>646</v>
      </c>
      <c r="F100" s="8" t="s">
        <v>88</v>
      </c>
      <c r="G100" s="8" t="s">
        <v>261</v>
      </c>
      <c r="H100" s="8" t="str">
        <f t="shared" si="28"/>
        <v>Taxi</v>
      </c>
      <c r="I100" s="13" t="s">
        <v>115</v>
      </c>
      <c r="J100" s="13" t="s">
        <v>793</v>
      </c>
      <c r="K100" s="13" t="str">
        <f t="shared" si="23"/>
        <v>NITIN DEV SAVLODIA | High Taxi Speed (Straight)</v>
      </c>
      <c r="L100" s="13" t="str">
        <f t="shared" si="24"/>
        <v>ANIRUDH KRISHNA | High Taxi Speed (Straight)</v>
      </c>
      <c r="M100" s="13" t="str">
        <f t="shared" si="25"/>
        <v>PAT | High Taxi Speed (Straight)</v>
      </c>
      <c r="N100" s="8">
        <f t="shared" si="29"/>
        <v>5</v>
      </c>
      <c r="O100" s="8" t="str">
        <f t="shared" si="30"/>
        <v/>
      </c>
      <c r="P100" s="8" t="str">
        <f t="shared" si="31"/>
        <v/>
      </c>
      <c r="Q100" s="8" t="str">
        <f t="shared" si="32"/>
        <v/>
      </c>
      <c r="R100" s="8" t="str">
        <f t="shared" si="33"/>
        <v/>
      </c>
      <c r="S100" s="8" t="str">
        <f t="shared" si="34"/>
        <v/>
      </c>
      <c r="T100" s="8" t="str">
        <f t="shared" si="35"/>
        <v>Red</v>
      </c>
    </row>
    <row r="101" spans="1:20" ht="32" x14ac:dyDescent="0.2">
      <c r="A101" s="14">
        <v>45733</v>
      </c>
      <c r="B101" s="8" t="str">
        <f t="shared" si="26"/>
        <v>Quarter1</v>
      </c>
      <c r="C101" s="8" t="s">
        <v>797</v>
      </c>
      <c r="D101" s="8" t="str">
        <f t="shared" si="27"/>
        <v>DXB</v>
      </c>
      <c r="E101" s="8" t="s">
        <v>650</v>
      </c>
      <c r="F101" s="8" t="s">
        <v>348</v>
      </c>
      <c r="G101" s="8" t="s">
        <v>114</v>
      </c>
      <c r="H101" s="8" t="str">
        <f t="shared" si="28"/>
        <v>Approach</v>
      </c>
      <c r="I101" s="13" t="s">
        <v>115</v>
      </c>
      <c r="J101" s="13" t="s">
        <v>798</v>
      </c>
      <c r="K101" s="13" t="str">
        <f t="shared" si="23"/>
        <v>MOHIT BHARDWAJ | Deviation Above Glideslope (&lt;1000 ft)</v>
      </c>
      <c r="L101" s="13" t="str">
        <f t="shared" si="24"/>
        <v>KARAN MALHOTRA | Deviation Above Glideslope (&lt;1000 ft)</v>
      </c>
      <c r="M101" s="13" t="str">
        <f t="shared" si="25"/>
        <v>DXB | Deviation Above Glideslope (&lt;1000 ft)</v>
      </c>
      <c r="N101" s="8">
        <f t="shared" si="29"/>
        <v>8</v>
      </c>
      <c r="O101" s="8">
        <f t="shared" si="30"/>
        <v>1.68</v>
      </c>
      <c r="P101" s="8" t="str">
        <f t="shared" si="31"/>
        <v/>
      </c>
      <c r="Q101" s="8" t="str">
        <f t="shared" si="32"/>
        <v/>
      </c>
      <c r="R101" s="8" t="str">
        <f t="shared" si="33"/>
        <v/>
      </c>
      <c r="S101" s="8" t="str">
        <f t="shared" si="34"/>
        <v/>
      </c>
      <c r="T101" s="8" t="str">
        <f t="shared" si="35"/>
        <v>Red</v>
      </c>
    </row>
    <row r="102" spans="1:20" ht="32" x14ac:dyDescent="0.2">
      <c r="A102" s="14">
        <v>45734</v>
      </c>
      <c r="B102" s="8" t="str">
        <f t="shared" si="26"/>
        <v>Quarter1</v>
      </c>
      <c r="C102" s="8" t="s">
        <v>747</v>
      </c>
      <c r="D102" s="8" t="str">
        <f t="shared" si="27"/>
        <v>BLR</v>
      </c>
      <c r="E102" s="8" t="s">
        <v>259</v>
      </c>
      <c r="F102" s="8" t="s">
        <v>190</v>
      </c>
      <c r="G102" s="8" t="s">
        <v>39</v>
      </c>
      <c r="H102" s="8" t="str">
        <f t="shared" si="28"/>
        <v>Approach</v>
      </c>
      <c r="I102" s="13" t="s">
        <v>115</v>
      </c>
      <c r="J102" s="13" t="s">
        <v>799</v>
      </c>
      <c r="K102" s="13" t="str">
        <f t="shared" si="23"/>
        <v>TEJAS SALUJA | Deviation Below Glideslope (&lt;1000 ft)</v>
      </c>
      <c r="L102" s="13" t="str">
        <f t="shared" si="24"/>
        <v>AKSHEY SOOD | Deviation Below Glideslope (&lt;1000 ft)</v>
      </c>
      <c r="M102" s="13" t="str">
        <f t="shared" si="25"/>
        <v>BLR | Deviation Below Glideslope (&lt;1000 ft)</v>
      </c>
      <c r="N102" s="8">
        <f t="shared" si="29"/>
        <v>8</v>
      </c>
      <c r="O102" s="8">
        <f t="shared" si="30"/>
        <v>1.21</v>
      </c>
      <c r="P102" s="8" t="str">
        <f t="shared" si="31"/>
        <v/>
      </c>
      <c r="Q102" s="8" t="str">
        <f t="shared" si="32"/>
        <v/>
      </c>
      <c r="R102" s="8" t="str">
        <f t="shared" si="33"/>
        <v/>
      </c>
      <c r="S102" s="8" t="str">
        <f t="shared" si="34"/>
        <v/>
      </c>
      <c r="T102" s="8" t="str">
        <f t="shared" si="35"/>
        <v>Red</v>
      </c>
    </row>
    <row r="103" spans="1:20" ht="32" x14ac:dyDescent="0.2">
      <c r="A103" s="14">
        <v>45738</v>
      </c>
      <c r="B103" s="8" t="str">
        <f t="shared" ref="B103:B126" si="36">"Quarter" &amp; INT((MONTH(A103)-1)/3)+1</f>
        <v>Quarter1</v>
      </c>
      <c r="C103" s="8" t="s">
        <v>691</v>
      </c>
      <c r="D103" s="8" t="str">
        <f t="shared" ref="D103:D126" si="37">IF(OR(
    ISNUMBER(SEARCH("Taxi", G103)),
    ISNUMBER(SEARCH("Take-off", G103)),
    ISNUMBER(SEARCH("Climb", G103))
),
    LEFT(C103, FIND("-", C103)-1),
    RIGHT(C103, LEN(C103) - FIND("-", C103))
)</f>
        <v>PAT</v>
      </c>
      <c r="E103" s="8" t="s">
        <v>194</v>
      </c>
      <c r="F103" s="8" t="s">
        <v>55</v>
      </c>
      <c r="G103" s="8" t="s">
        <v>196</v>
      </c>
      <c r="H103" s="8" t="str">
        <f t="shared" ref="H103:H126" si="38">IF(OR(ISNUMBER(SEARCH("Taxi", G103))), "Taxi",
 IF(OR(ISNUMBER(SEARCH("Take-off", G103)), ISNUMBER(SEARCH("Climb", G103)), ISNUMBER(SEARCH("Gear Retraction", G103)), ISNUMBER(SEARCH("Config Change", G103))), "Climb",
 IF(ISNUMBER(SEARCH("Cruise", G103)), "Cruise",
 "Approach")))</f>
        <v>Climb</v>
      </c>
      <c r="I103" s="8" t="s">
        <v>428</v>
      </c>
      <c r="J103" s="13" t="s">
        <v>817</v>
      </c>
      <c r="K103" s="13" t="str">
        <f t="shared" si="23"/>
        <v>MAHENDRA KUVARJI CHHEDA | Pitch Rate High During Take-off (Average)</v>
      </c>
      <c r="L103" s="13" t="str">
        <f t="shared" si="24"/>
        <v>SHREYASKUMAR ANILKUMAR CHAUDHARI | Pitch Rate High During Take-off (Average)</v>
      </c>
      <c r="M103" s="13" t="str">
        <f t="shared" si="25"/>
        <v>PAT | Pitch Rate High During Take-off (Average)</v>
      </c>
      <c r="N103" s="8" t="str">
        <f t="shared" ref="N103:N126" si="39">IFERROR(VALUE(MID(J103,FIND("for ",J103)+4,FIND(" sec",J103)-FIND("for ",J103)-4)),"")</f>
        <v/>
      </c>
      <c r="O103" s="8" t="str">
        <f t="shared" ref="O103:O126" si="40">IFERROR(VALUE(MID(J103,FIND("Max Deviation ",J103)+14,FIND(" at",J103)-FIND("Max Deviation ",J103)-14)),"")</f>
        <v/>
      </c>
      <c r="P103" s="8" t="str">
        <f t="shared" ref="P103:P126" si="41">IFERROR(VALUE(MID(J103,FIND("Altitude:",J103)+9,FIND(" ft",J103)-FIND("Altitude:",J103)-9)),"")</f>
        <v/>
      </c>
      <c r="Q103" s="8" t="str">
        <f t="shared" ref="Q103:Q111" si="42">IFERROR(VALUE(MID(J103,FIND("Max CAS:",J103)+8,FIND(" kts",J103)-FIND("Max CAS:",J103)-8)),"")</f>
        <v/>
      </c>
      <c r="R103" s="8" t="str">
        <f t="shared" ref="R103:R126" si="43">IFERROR(VALUE(MID(J103,FIND("Max ROD:",J103)+8,FIND(" fpm",J103)-FIND("Max ROD:",J103)-8)),"")</f>
        <v/>
      </c>
      <c r="S103" s="8" t="str">
        <f t="shared" ref="S103:S126" si="44">IFERROR(VALUE(MID(J103,FIND("At ",J103)+3,FIND(" ft",J103)-FIND("At ",J103)-3)),"")</f>
        <v/>
      </c>
      <c r="T103" s="8" t="str">
        <f t="shared" ref="T103:T126" si="45">IF(I103="Information","Amber","Red")</f>
        <v>Red</v>
      </c>
    </row>
    <row r="104" spans="1:20" ht="32" x14ac:dyDescent="0.2">
      <c r="A104" s="14">
        <v>45737</v>
      </c>
      <c r="B104" s="8" t="str">
        <f t="shared" si="36"/>
        <v>Quarter1</v>
      </c>
      <c r="C104" s="8" t="s">
        <v>311</v>
      </c>
      <c r="D104" s="8" t="str">
        <f t="shared" si="37"/>
        <v>IXL</v>
      </c>
      <c r="E104" s="8" t="s">
        <v>166</v>
      </c>
      <c r="F104" s="8" t="s">
        <v>365</v>
      </c>
      <c r="G104" s="8" t="s">
        <v>529</v>
      </c>
      <c r="H104" s="8" t="str">
        <f t="shared" si="38"/>
        <v>Approach</v>
      </c>
      <c r="I104" s="8" t="s">
        <v>428</v>
      </c>
      <c r="J104" s="13" t="s">
        <v>818</v>
      </c>
      <c r="K104" s="13" t="str">
        <f t="shared" si="23"/>
        <v>SUDHIR SHARMA | Approach Speed High (500-50 ft)</v>
      </c>
      <c r="L104" s="13" t="str">
        <f t="shared" si="24"/>
        <v>SIDDHARTHA MOHAN | Approach Speed High (500-50 ft)</v>
      </c>
      <c r="M104" s="13" t="str">
        <f t="shared" si="25"/>
        <v>IXL | Approach Speed High (500-50 ft)</v>
      </c>
      <c r="N104" s="8">
        <f t="shared" si="39"/>
        <v>6</v>
      </c>
      <c r="O104" s="8" t="str">
        <f t="shared" si="40"/>
        <v/>
      </c>
      <c r="P104" s="8">
        <f t="shared" si="41"/>
        <v>10631</v>
      </c>
      <c r="Q104" s="8">
        <f t="shared" si="42"/>
        <v>159</v>
      </c>
      <c r="R104" s="8" t="str">
        <f t="shared" si="43"/>
        <v/>
      </c>
      <c r="S104" s="8" t="str">
        <f t="shared" si="44"/>
        <v/>
      </c>
      <c r="T104" s="8" t="str">
        <f t="shared" si="45"/>
        <v>Red</v>
      </c>
    </row>
    <row r="105" spans="1:20" ht="32" x14ac:dyDescent="0.2">
      <c r="A105" s="14">
        <v>45737</v>
      </c>
      <c r="B105" s="8" t="str">
        <f t="shared" si="36"/>
        <v>Quarter1</v>
      </c>
      <c r="C105" s="8" t="s">
        <v>780</v>
      </c>
      <c r="D105" s="8" t="str">
        <f t="shared" si="37"/>
        <v>CCU</v>
      </c>
      <c r="E105" s="8" t="s">
        <v>515</v>
      </c>
      <c r="F105" s="8" t="s">
        <v>494</v>
      </c>
      <c r="G105" s="8" t="s">
        <v>261</v>
      </c>
      <c r="H105" s="8" t="str">
        <f t="shared" si="38"/>
        <v>Taxi</v>
      </c>
      <c r="I105" s="8" t="s">
        <v>115</v>
      </c>
      <c r="J105" s="13" t="s">
        <v>836</v>
      </c>
      <c r="K105" s="13" t="str">
        <f t="shared" si="23"/>
        <v>OLYM ROY | High Taxi Speed (Straight)</v>
      </c>
      <c r="L105" s="13" t="str">
        <f t="shared" si="24"/>
        <v>ASHLESH BAPURAO SHINDE | High Taxi Speed (Straight)</v>
      </c>
      <c r="M105" s="13" t="str">
        <f t="shared" si="25"/>
        <v>CCU | High Taxi Speed (Straight)</v>
      </c>
      <c r="N105" s="8">
        <f t="shared" si="39"/>
        <v>7</v>
      </c>
      <c r="O105" s="8" t="str">
        <f t="shared" si="40"/>
        <v/>
      </c>
      <c r="P105" s="8" t="str">
        <f t="shared" si="41"/>
        <v/>
      </c>
      <c r="Q105" s="8" t="str">
        <f t="shared" si="42"/>
        <v/>
      </c>
      <c r="R105" s="8" t="str">
        <f t="shared" si="43"/>
        <v/>
      </c>
      <c r="S105" s="8" t="str">
        <f t="shared" si="44"/>
        <v/>
      </c>
      <c r="T105" s="8" t="str">
        <f t="shared" si="45"/>
        <v>Red</v>
      </c>
    </row>
    <row r="106" spans="1:20" ht="64" x14ac:dyDescent="0.2">
      <c r="A106" s="14">
        <v>45741</v>
      </c>
      <c r="B106" s="8" t="str">
        <f t="shared" si="36"/>
        <v>Quarter1</v>
      </c>
      <c r="C106" s="8" t="s">
        <v>95</v>
      </c>
      <c r="D106" s="8" t="str">
        <f t="shared" si="37"/>
        <v>DEL</v>
      </c>
      <c r="E106" s="8" t="s">
        <v>714</v>
      </c>
      <c r="F106" s="8" t="s">
        <v>303</v>
      </c>
      <c r="G106" s="8" t="s">
        <v>64</v>
      </c>
      <c r="H106" s="8" t="str">
        <f t="shared" si="38"/>
        <v>Approach</v>
      </c>
      <c r="I106" s="8" t="s">
        <v>115</v>
      </c>
      <c r="J106" s="22" t="s">
        <v>855</v>
      </c>
      <c r="K106" s="13" t="str">
        <f t="shared" si="23"/>
        <v>NILESH KUMAR NONHARE | Long Landing</v>
      </c>
      <c r="L106" s="13" t="str">
        <f t="shared" si="24"/>
        <v>AMALENDU | Long Landing</v>
      </c>
      <c r="M106" s="13" t="str">
        <f t="shared" si="25"/>
        <v>DEL | Long Landing</v>
      </c>
      <c r="N106" s="8" t="str">
        <f t="shared" si="39"/>
        <v/>
      </c>
      <c r="O106" s="8" t="str">
        <f t="shared" si="40"/>
        <v/>
      </c>
      <c r="P106" s="8" t="str">
        <f t="shared" si="41"/>
        <v/>
      </c>
      <c r="Q106" s="8" t="str">
        <f t="shared" si="42"/>
        <v/>
      </c>
      <c r="R106" s="8" t="str">
        <f t="shared" si="43"/>
        <v/>
      </c>
      <c r="S106" s="8">
        <f t="shared" si="44"/>
        <v>45</v>
      </c>
      <c r="T106" s="8" t="str">
        <f t="shared" si="45"/>
        <v>Red</v>
      </c>
    </row>
    <row r="107" spans="1:20" ht="48" x14ac:dyDescent="0.2">
      <c r="A107" s="14">
        <v>45742</v>
      </c>
      <c r="B107" s="8" t="str">
        <f t="shared" si="36"/>
        <v>Quarter1</v>
      </c>
      <c r="C107" s="8" t="s">
        <v>111</v>
      </c>
      <c r="D107" s="8" t="str">
        <f t="shared" si="37"/>
        <v>SXR</v>
      </c>
      <c r="E107" s="8" t="s">
        <v>862</v>
      </c>
      <c r="F107" s="8" t="s">
        <v>379</v>
      </c>
      <c r="G107" s="8" t="s">
        <v>24</v>
      </c>
      <c r="H107" s="8" t="str">
        <f t="shared" si="38"/>
        <v>Approach</v>
      </c>
      <c r="I107" s="8" t="s">
        <v>115</v>
      </c>
      <c r="J107" s="13" t="s">
        <v>864</v>
      </c>
      <c r="K107" s="13" t="str">
        <f t="shared" si="23"/>
        <v>RAHUL SHARMA | High Rate of Descent (500-100 ft)</v>
      </c>
      <c r="L107" s="13" t="str">
        <f t="shared" si="24"/>
        <v>SUPREET KAUR GILL | High Rate of Descent (500-100 ft)</v>
      </c>
      <c r="M107" s="13" t="str">
        <f t="shared" si="25"/>
        <v>SXR | High Rate of Descent (500-100 ft)</v>
      </c>
      <c r="N107" s="8">
        <f t="shared" si="39"/>
        <v>4</v>
      </c>
      <c r="O107" s="8" t="str">
        <f t="shared" si="40"/>
        <v/>
      </c>
      <c r="P107" s="8">
        <f t="shared" si="41"/>
        <v>572</v>
      </c>
      <c r="Q107" s="8" t="str">
        <f t="shared" si="42"/>
        <v/>
      </c>
      <c r="R107" s="8">
        <f t="shared" si="43"/>
        <v>1215</v>
      </c>
      <c r="S107" s="8" t="str">
        <f t="shared" si="44"/>
        <v/>
      </c>
      <c r="T107" s="8" t="str">
        <f t="shared" si="45"/>
        <v>Red</v>
      </c>
    </row>
    <row r="108" spans="1:20" ht="16" x14ac:dyDescent="0.2">
      <c r="A108" s="14">
        <v>45742</v>
      </c>
      <c r="B108" s="8" t="str">
        <f t="shared" si="36"/>
        <v>Quarter1</v>
      </c>
      <c r="C108" s="8" t="s">
        <v>653</v>
      </c>
      <c r="D108" s="8" t="str">
        <f t="shared" si="37"/>
        <v>AMD</v>
      </c>
      <c r="E108" s="8" t="s">
        <v>808</v>
      </c>
      <c r="F108" s="8" t="s">
        <v>88</v>
      </c>
      <c r="G108" s="8" t="s">
        <v>27</v>
      </c>
      <c r="H108" s="8" t="str">
        <f t="shared" si="38"/>
        <v>Approach</v>
      </c>
      <c r="I108" s="13" t="s">
        <v>157</v>
      </c>
      <c r="J108" s="13" t="s">
        <v>868</v>
      </c>
      <c r="K108" s="13" t="str">
        <f t="shared" si="23"/>
        <v>JONAS DSOUZA | Go around</v>
      </c>
      <c r="L108" s="13" t="str">
        <f t="shared" si="24"/>
        <v>ANIRUDH KRISHNA | Go around</v>
      </c>
      <c r="M108" s="13" t="str">
        <f t="shared" si="25"/>
        <v>AMD | Go around</v>
      </c>
      <c r="N108" s="8" t="str">
        <f t="shared" si="39"/>
        <v/>
      </c>
      <c r="O108" s="8" t="str">
        <f t="shared" si="40"/>
        <v/>
      </c>
      <c r="P108" s="8" t="str">
        <f t="shared" si="41"/>
        <v/>
      </c>
      <c r="Q108" s="8" t="str">
        <f t="shared" si="42"/>
        <v/>
      </c>
      <c r="R108" s="8" t="str">
        <f t="shared" si="43"/>
        <v/>
      </c>
      <c r="S108" s="8" t="str">
        <f t="shared" si="44"/>
        <v/>
      </c>
      <c r="T108" s="8" t="str">
        <f t="shared" si="45"/>
        <v>Red</v>
      </c>
    </row>
    <row r="109" spans="1:20" ht="32" x14ac:dyDescent="0.2">
      <c r="A109" s="14">
        <v>45743</v>
      </c>
      <c r="B109" s="8" t="str">
        <f t="shared" si="36"/>
        <v>Quarter1</v>
      </c>
      <c r="C109" s="8" t="s">
        <v>747</v>
      </c>
      <c r="D109" s="8" t="str">
        <f t="shared" si="37"/>
        <v>BLR</v>
      </c>
      <c r="E109" s="8" t="s">
        <v>361</v>
      </c>
      <c r="F109" s="8" t="s">
        <v>824</v>
      </c>
      <c r="G109" s="8" t="s">
        <v>403</v>
      </c>
      <c r="H109" s="8" t="str">
        <f t="shared" si="38"/>
        <v>Approach</v>
      </c>
      <c r="I109" s="8" t="s">
        <v>115</v>
      </c>
      <c r="J109" s="13" t="s">
        <v>869</v>
      </c>
      <c r="K109" s="13" t="str">
        <f t="shared" si="23"/>
        <v>SNEHA SHEKHAWAT | Late Thrust Reverser Deployment</v>
      </c>
      <c r="L109" s="13" t="str">
        <f t="shared" si="24"/>
        <v>VINAY FAUZDAR | Late Thrust Reverser Deployment</v>
      </c>
      <c r="M109" s="13" t="str">
        <f t="shared" si="25"/>
        <v>BLR | Late Thrust Reverser Deployment</v>
      </c>
      <c r="N109" s="8">
        <f t="shared" si="39"/>
        <v>1</v>
      </c>
      <c r="O109" s="8" t="str">
        <f t="shared" si="40"/>
        <v/>
      </c>
      <c r="P109" s="8" t="str">
        <f t="shared" si="41"/>
        <v/>
      </c>
      <c r="Q109" s="8" t="str">
        <f t="shared" si="42"/>
        <v/>
      </c>
      <c r="R109" s="8" t="str">
        <f t="shared" si="43"/>
        <v/>
      </c>
      <c r="S109" s="8" t="str">
        <f t="shared" si="44"/>
        <v/>
      </c>
      <c r="T109" s="8" t="str">
        <f t="shared" si="45"/>
        <v>Red</v>
      </c>
    </row>
    <row r="110" spans="1:20" ht="32" x14ac:dyDescent="0.2">
      <c r="A110" s="14">
        <v>45744</v>
      </c>
      <c r="B110" s="8" t="str">
        <f t="shared" si="36"/>
        <v>Quarter1</v>
      </c>
      <c r="C110" s="8" t="s">
        <v>872</v>
      </c>
      <c r="D110" s="8" t="str">
        <f t="shared" si="37"/>
        <v>HYD</v>
      </c>
      <c r="E110" s="8" t="s">
        <v>823</v>
      </c>
      <c r="F110" s="8" t="s">
        <v>873</v>
      </c>
      <c r="G110" s="8" t="s">
        <v>24</v>
      </c>
      <c r="H110" s="8" t="str">
        <f t="shared" si="38"/>
        <v>Approach</v>
      </c>
      <c r="I110" s="8" t="s">
        <v>115</v>
      </c>
      <c r="J110" s="13" t="s">
        <v>881</v>
      </c>
      <c r="K110" s="13" t="str">
        <f t="shared" si="23"/>
        <v>ANEESH ATOORI | High Rate of Descent (500-100 ft)</v>
      </c>
      <c r="L110" s="13" t="str">
        <f t="shared" si="24"/>
        <v>SAMSUNDAR ANUP BALLA | High Rate of Descent (500-100 ft)</v>
      </c>
      <c r="M110" s="13" t="str">
        <f t="shared" si="25"/>
        <v>HYD | High Rate of Descent (500-100 ft)</v>
      </c>
      <c r="N110" s="8">
        <f t="shared" si="39"/>
        <v>8</v>
      </c>
      <c r="O110" s="8" t="str">
        <f t="shared" si="40"/>
        <v/>
      </c>
      <c r="P110" s="8">
        <f t="shared" si="41"/>
        <v>2478</v>
      </c>
      <c r="Q110" s="8" t="str">
        <f t="shared" si="42"/>
        <v/>
      </c>
      <c r="R110" s="8">
        <f t="shared" si="43"/>
        <v>1305</v>
      </c>
      <c r="S110" s="8" t="str">
        <f t="shared" si="44"/>
        <v/>
      </c>
      <c r="T110" s="8" t="str">
        <f t="shared" si="45"/>
        <v>Red</v>
      </c>
    </row>
    <row r="111" spans="1:20" ht="32" x14ac:dyDescent="0.2">
      <c r="A111" s="14">
        <v>45744</v>
      </c>
      <c r="B111" s="8" t="str">
        <f t="shared" si="36"/>
        <v>Quarter1</v>
      </c>
      <c r="C111" s="8" t="s">
        <v>111</v>
      </c>
      <c r="D111" s="8" t="str">
        <f t="shared" si="37"/>
        <v>SXR</v>
      </c>
      <c r="E111" s="8" t="s">
        <v>147</v>
      </c>
      <c r="F111" s="8" t="s">
        <v>225</v>
      </c>
      <c r="G111" s="8" t="s">
        <v>24</v>
      </c>
      <c r="H111" s="8" t="str">
        <f t="shared" si="38"/>
        <v>Approach</v>
      </c>
      <c r="I111" s="8" t="s">
        <v>203</v>
      </c>
      <c r="J111" s="13" t="s">
        <v>882</v>
      </c>
      <c r="K111" s="13" t="str">
        <f t="shared" si="23"/>
        <v>SANKET MAHESH MARULKAR | High Rate of Descent (500-100 ft)</v>
      </c>
      <c r="L111" s="13" t="str">
        <f t="shared" si="24"/>
        <v>VIKRAM  SINGH | High Rate of Descent (500-100 ft)</v>
      </c>
      <c r="M111" s="13" t="str">
        <f t="shared" si="25"/>
        <v>SXR | High Rate of Descent (500-100 ft)</v>
      </c>
      <c r="N111" s="8">
        <f t="shared" si="39"/>
        <v>4</v>
      </c>
      <c r="O111" s="8" t="str">
        <f t="shared" si="40"/>
        <v/>
      </c>
      <c r="P111" s="8">
        <f t="shared" si="41"/>
        <v>5856</v>
      </c>
      <c r="Q111" s="8" t="str">
        <f t="shared" si="42"/>
        <v/>
      </c>
      <c r="R111" s="8">
        <f t="shared" si="43"/>
        <v>1248</v>
      </c>
      <c r="S111" s="8" t="str">
        <f t="shared" si="44"/>
        <v/>
      </c>
      <c r="T111" s="8" t="str">
        <f t="shared" si="45"/>
        <v>Red</v>
      </c>
    </row>
    <row r="112" spans="1:20" ht="32" x14ac:dyDescent="0.2">
      <c r="A112" s="14">
        <v>45743</v>
      </c>
      <c r="B112" s="8" t="str">
        <f t="shared" si="36"/>
        <v>Quarter1</v>
      </c>
      <c r="C112" s="8" t="s">
        <v>465</v>
      </c>
      <c r="D112" s="8" t="str">
        <f t="shared" si="37"/>
        <v>DBR</v>
      </c>
      <c r="E112" s="13" t="s">
        <v>714</v>
      </c>
      <c r="F112" s="13" t="s">
        <v>684</v>
      </c>
      <c r="G112" s="8" t="s">
        <v>261</v>
      </c>
      <c r="H112" s="8" t="str">
        <f t="shared" si="38"/>
        <v>Taxi</v>
      </c>
      <c r="I112" s="8" t="s">
        <v>115</v>
      </c>
      <c r="J112" s="13" t="s">
        <v>911</v>
      </c>
      <c r="K112" s="13" t="str">
        <f t="shared" si="23"/>
        <v>NILESH KUMAR NONHARE | High Taxi Speed (Straight)</v>
      </c>
      <c r="L112" s="13" t="str">
        <f t="shared" si="24"/>
        <v>DIVYANSHU CHATURVEDI | High Taxi Speed (Straight)</v>
      </c>
      <c r="M112" s="13" t="str">
        <f t="shared" si="25"/>
        <v>DBR | High Taxi Speed (Straight)</v>
      </c>
      <c r="N112" s="8">
        <f t="shared" si="39"/>
        <v>4</v>
      </c>
      <c r="O112" s="8" t="str">
        <f t="shared" si="40"/>
        <v/>
      </c>
      <c r="P112" s="8" t="str">
        <f t="shared" si="41"/>
        <v/>
      </c>
      <c r="Q112" s="8" t="str">
        <f t="shared" ref="Q112:Q137" si="46">IFERROR(VALUE(MID(J112,FIND("Max CAS:",J112)+8,FIND(" kts",J112)-FIND("Max CAS:",J112)-8)),"")</f>
        <v/>
      </c>
      <c r="R112" s="8" t="str">
        <f t="shared" si="43"/>
        <v/>
      </c>
      <c r="S112" s="8" t="str">
        <f t="shared" si="44"/>
        <v/>
      </c>
      <c r="T112" s="8" t="str">
        <f t="shared" si="45"/>
        <v>Red</v>
      </c>
    </row>
    <row r="113" spans="1:20" ht="32" x14ac:dyDescent="0.2">
      <c r="A113" s="14">
        <v>45747</v>
      </c>
      <c r="B113" s="8" t="str">
        <f t="shared" si="36"/>
        <v>Quarter1</v>
      </c>
      <c r="C113" s="8" t="s">
        <v>888</v>
      </c>
      <c r="D113" s="8" t="str">
        <f t="shared" si="37"/>
        <v>BLR</v>
      </c>
      <c r="E113" s="8" t="s">
        <v>619</v>
      </c>
      <c r="F113" s="8" t="s">
        <v>190</v>
      </c>
      <c r="G113" s="8" t="s">
        <v>89</v>
      </c>
      <c r="H113" s="8" t="str">
        <f t="shared" si="38"/>
        <v>Approach</v>
      </c>
      <c r="I113" s="8" t="s">
        <v>115</v>
      </c>
      <c r="J113" s="26" t="s">
        <v>901</v>
      </c>
      <c r="K113" s="13" t="str">
        <f t="shared" si="23"/>
        <v>MANAS CHATTERJEE | Approach Speed High (1000-500 ft)</v>
      </c>
      <c r="L113" s="13" t="str">
        <f t="shared" si="24"/>
        <v>AKSHEY SOOD | Approach Speed High (1000-500 ft)</v>
      </c>
      <c r="M113" s="13" t="str">
        <f t="shared" si="25"/>
        <v>BLR | Approach Speed High (1000-500 ft)</v>
      </c>
      <c r="N113" s="8" t="str">
        <f t="shared" si="39"/>
        <v/>
      </c>
      <c r="O113" s="8" t="str">
        <f t="shared" si="40"/>
        <v/>
      </c>
      <c r="P113" s="8">
        <f t="shared" si="41"/>
        <v>1193</v>
      </c>
      <c r="Q113" s="8">
        <f t="shared" si="46"/>
        <v>152.30000000000001</v>
      </c>
      <c r="R113" s="8" t="str">
        <f t="shared" si="43"/>
        <v/>
      </c>
      <c r="S113" s="8" t="str">
        <f t="shared" si="44"/>
        <v/>
      </c>
      <c r="T113" s="8" t="str">
        <f t="shared" si="45"/>
        <v>Red</v>
      </c>
    </row>
    <row r="114" spans="1:20" ht="32" x14ac:dyDescent="0.2">
      <c r="A114" s="14">
        <v>45750</v>
      </c>
      <c r="B114" s="8" t="str">
        <f t="shared" si="36"/>
        <v>Quarter2</v>
      </c>
      <c r="C114" s="8" t="s">
        <v>311</v>
      </c>
      <c r="D114" s="8" t="str">
        <f t="shared" si="37"/>
        <v>IXL</v>
      </c>
      <c r="E114" s="8" t="s">
        <v>703</v>
      </c>
      <c r="F114" s="8" t="s">
        <v>876</v>
      </c>
      <c r="G114" s="8" t="s">
        <v>136</v>
      </c>
      <c r="H114" s="8" t="str">
        <f t="shared" si="38"/>
        <v>Approach</v>
      </c>
      <c r="I114" s="8" t="s">
        <v>115</v>
      </c>
      <c r="J114" s="13" t="s">
        <v>918</v>
      </c>
      <c r="K114" s="13" t="str">
        <f t="shared" si="23"/>
        <v>DHRUV MITAL | Approach Speed High (&lt;50 ft)</v>
      </c>
      <c r="L114" s="13" t="str">
        <f t="shared" si="24"/>
        <v>SUDHEER MAINGI | Approach Speed High (&lt;50 ft)</v>
      </c>
      <c r="M114" s="13" t="str">
        <f t="shared" si="25"/>
        <v>IXL | Approach Speed High (&lt;50 ft)</v>
      </c>
      <c r="N114" s="8">
        <f t="shared" si="39"/>
        <v>5</v>
      </c>
      <c r="O114" s="8" t="str">
        <f t="shared" si="40"/>
        <v/>
      </c>
      <c r="P114" s="8">
        <f t="shared" si="41"/>
        <v>18</v>
      </c>
      <c r="Q114" s="8" t="str">
        <f t="shared" si="46"/>
        <v/>
      </c>
      <c r="R114" s="8" t="str">
        <f t="shared" si="43"/>
        <v/>
      </c>
      <c r="S114" s="8" t="str">
        <f t="shared" si="44"/>
        <v/>
      </c>
      <c r="T114" s="8" t="str">
        <f t="shared" si="45"/>
        <v>Red</v>
      </c>
    </row>
    <row r="115" spans="1:20" ht="16" x14ac:dyDescent="0.2">
      <c r="A115" s="12">
        <v>45749</v>
      </c>
      <c r="B115" s="8" t="str">
        <f t="shared" si="36"/>
        <v>Quarter2</v>
      </c>
      <c r="C115" s="13" t="s">
        <v>347</v>
      </c>
      <c r="D115" s="8" t="str">
        <f t="shared" si="37"/>
        <v>CCU</v>
      </c>
      <c r="E115" s="13" t="s">
        <v>147</v>
      </c>
      <c r="F115" s="13" t="s">
        <v>830</v>
      </c>
      <c r="G115" s="13" t="s">
        <v>715</v>
      </c>
      <c r="H115" s="8" t="str">
        <f t="shared" si="38"/>
        <v>Approach</v>
      </c>
      <c r="I115" s="8" t="s">
        <v>115</v>
      </c>
      <c r="J115" s="13" t="s">
        <v>920</v>
      </c>
      <c r="K115" s="13" t="str">
        <f t="shared" si="23"/>
        <v>SANKET MAHESH MARULKAR | MAX EGT/ITT (Continuous) #1</v>
      </c>
      <c r="L115" s="13" t="str">
        <f t="shared" si="24"/>
        <v>ROHIT YENU TARI | MAX EGT/ITT (Continuous) #1</v>
      </c>
      <c r="M115" s="13" t="str">
        <f t="shared" si="25"/>
        <v>CCU | MAX EGT/ITT (Continuous) #1</v>
      </c>
      <c r="N115" s="8">
        <f t="shared" si="39"/>
        <v>5</v>
      </c>
      <c r="O115" s="8" t="str">
        <f t="shared" si="40"/>
        <v/>
      </c>
      <c r="P115" s="8" t="str">
        <f t="shared" si="41"/>
        <v/>
      </c>
      <c r="Q115" s="8" t="str">
        <f t="shared" si="46"/>
        <v/>
      </c>
      <c r="R115" s="8" t="str">
        <f t="shared" si="43"/>
        <v/>
      </c>
      <c r="S115" s="8" t="str">
        <f t="shared" si="44"/>
        <v/>
      </c>
      <c r="T115" s="8" t="str">
        <f t="shared" si="45"/>
        <v>Red</v>
      </c>
    </row>
    <row r="116" spans="1:20" ht="16" x14ac:dyDescent="0.2">
      <c r="A116" s="14">
        <v>45749</v>
      </c>
      <c r="B116" s="8" t="str">
        <f t="shared" si="36"/>
        <v>Quarter2</v>
      </c>
      <c r="C116" s="8" t="s">
        <v>922</v>
      </c>
      <c r="D116" s="8" t="str">
        <f t="shared" si="37"/>
        <v>COK</v>
      </c>
      <c r="E116" s="8" t="s">
        <v>52</v>
      </c>
      <c r="F116" s="8" t="s">
        <v>873</v>
      </c>
      <c r="G116" s="8" t="s">
        <v>27</v>
      </c>
      <c r="H116" s="8" t="str">
        <f t="shared" si="38"/>
        <v>Approach</v>
      </c>
      <c r="I116" s="13" t="s">
        <v>157</v>
      </c>
      <c r="J116" s="13" t="s">
        <v>924</v>
      </c>
      <c r="K116" s="13" t="str">
        <f t="shared" si="23"/>
        <v>SAURABH SARKAR | Go around</v>
      </c>
      <c r="L116" s="13" t="str">
        <f t="shared" si="24"/>
        <v>SAMSUNDAR ANUP BALLA | Go around</v>
      </c>
      <c r="M116" s="13" t="str">
        <f t="shared" si="25"/>
        <v>COK | Go around</v>
      </c>
      <c r="N116" s="8" t="str">
        <f t="shared" si="39"/>
        <v/>
      </c>
      <c r="O116" s="8" t="str">
        <f t="shared" si="40"/>
        <v/>
      </c>
      <c r="P116" s="8" t="str">
        <f t="shared" si="41"/>
        <v/>
      </c>
      <c r="Q116" s="8" t="str">
        <f t="shared" si="46"/>
        <v/>
      </c>
      <c r="R116" s="8" t="str">
        <f t="shared" si="43"/>
        <v/>
      </c>
      <c r="S116" s="8">
        <f t="shared" si="44"/>
        <v>1426</v>
      </c>
      <c r="T116" s="8" t="str">
        <f t="shared" si="45"/>
        <v>Red</v>
      </c>
    </row>
    <row r="117" spans="1:20" ht="16" x14ac:dyDescent="0.2">
      <c r="A117" s="14">
        <v>45751</v>
      </c>
      <c r="B117" s="8" t="str">
        <f t="shared" si="36"/>
        <v>Quarter2</v>
      </c>
      <c r="C117" s="8" t="s">
        <v>311</v>
      </c>
      <c r="D117" s="8" t="str">
        <f t="shared" si="37"/>
        <v>IXL</v>
      </c>
      <c r="E117" s="8" t="s">
        <v>647</v>
      </c>
      <c r="F117" s="8" t="s">
        <v>485</v>
      </c>
      <c r="G117" s="8" t="s">
        <v>27</v>
      </c>
      <c r="H117" s="8" t="str">
        <f t="shared" si="38"/>
        <v>Approach</v>
      </c>
      <c r="I117" s="13" t="s">
        <v>157</v>
      </c>
      <c r="J117" s="13" t="s">
        <v>930</v>
      </c>
      <c r="K117" s="13" t="str">
        <f t="shared" si="23"/>
        <v>VARUN GUPTA | Go around</v>
      </c>
      <c r="L117" s="13" t="str">
        <f t="shared" si="24"/>
        <v>MOHIT KUMAR | Go around</v>
      </c>
      <c r="M117" s="13" t="str">
        <f t="shared" si="25"/>
        <v>IXL | Go around</v>
      </c>
      <c r="N117" s="8" t="str">
        <f t="shared" si="39"/>
        <v/>
      </c>
      <c r="O117" s="8" t="str">
        <f t="shared" si="40"/>
        <v/>
      </c>
      <c r="P117" s="8" t="str">
        <f t="shared" si="41"/>
        <v/>
      </c>
      <c r="Q117" s="8" t="str">
        <f t="shared" si="46"/>
        <v/>
      </c>
      <c r="R117" s="8" t="str">
        <f t="shared" si="43"/>
        <v/>
      </c>
      <c r="S117" s="8">
        <f t="shared" si="44"/>
        <v>126</v>
      </c>
      <c r="T117" s="8" t="str">
        <f t="shared" si="45"/>
        <v>Red</v>
      </c>
    </row>
    <row r="118" spans="1:20" ht="32" x14ac:dyDescent="0.2">
      <c r="A118" s="12">
        <v>45752</v>
      </c>
      <c r="B118" s="8" t="str">
        <f t="shared" si="36"/>
        <v>Quarter2</v>
      </c>
      <c r="C118" s="13" t="s">
        <v>797</v>
      </c>
      <c r="D118" s="8" t="str">
        <f t="shared" si="37"/>
        <v>DXB</v>
      </c>
      <c r="E118" s="13" t="s">
        <v>112</v>
      </c>
      <c r="F118" s="13" t="s">
        <v>152</v>
      </c>
      <c r="G118" s="13" t="s">
        <v>114</v>
      </c>
      <c r="H118" s="8" t="str">
        <f t="shared" si="38"/>
        <v>Approach</v>
      </c>
      <c r="I118" s="8" t="s">
        <v>115</v>
      </c>
      <c r="J118" s="13" t="s">
        <v>934</v>
      </c>
      <c r="K118" s="13" t="str">
        <f t="shared" si="23"/>
        <v>ANAND MURTHY TIWARI | Deviation Above Glideslope (&lt;1000 ft)</v>
      </c>
      <c r="L118" s="13" t="str">
        <f t="shared" si="24"/>
        <v>SUMIT GUPTA | Deviation Above Glideslope (&lt;1000 ft)</v>
      </c>
      <c r="M118" s="13" t="str">
        <f t="shared" si="25"/>
        <v>DXB | Deviation Above Glideslope (&lt;1000 ft)</v>
      </c>
      <c r="N118" s="8">
        <f t="shared" si="39"/>
        <v>6</v>
      </c>
      <c r="O118" s="8">
        <f t="shared" si="40"/>
        <v>2</v>
      </c>
      <c r="P118" s="8" t="str">
        <f t="shared" si="41"/>
        <v/>
      </c>
      <c r="Q118" s="8" t="str">
        <f t="shared" si="46"/>
        <v/>
      </c>
      <c r="R118" s="8" t="str">
        <f t="shared" si="43"/>
        <v/>
      </c>
      <c r="S118" s="8" t="str">
        <f t="shared" si="44"/>
        <v/>
      </c>
      <c r="T118" s="8" t="str">
        <f t="shared" si="45"/>
        <v>Red</v>
      </c>
    </row>
    <row r="119" spans="1:20" ht="16" x14ac:dyDescent="0.2">
      <c r="A119" s="14">
        <v>45754</v>
      </c>
      <c r="B119" s="8" t="str">
        <f t="shared" si="36"/>
        <v>Quarter2</v>
      </c>
      <c r="C119" s="8" t="s">
        <v>465</v>
      </c>
      <c r="D119" s="8" t="str">
        <f t="shared" si="37"/>
        <v>DEL</v>
      </c>
      <c r="E119" s="8" t="s">
        <v>303</v>
      </c>
      <c r="F119" s="8" t="s">
        <v>944</v>
      </c>
      <c r="G119" s="8" t="s">
        <v>715</v>
      </c>
      <c r="H119" s="8" t="str">
        <f t="shared" si="38"/>
        <v>Approach</v>
      </c>
      <c r="I119" s="8" t="s">
        <v>203</v>
      </c>
      <c r="J119" s="13" t="s">
        <v>946</v>
      </c>
      <c r="K119" s="13" t="str">
        <f t="shared" si="23"/>
        <v>AMALENDU | MAX EGT/ITT (Continuous) #1</v>
      </c>
      <c r="L119" s="13" t="str">
        <f t="shared" si="24"/>
        <v>HARSHIT SINGH | MAX EGT/ITT (Continuous) #1</v>
      </c>
      <c r="M119" s="13" t="str">
        <f t="shared" si="25"/>
        <v>DEL | MAX EGT/ITT (Continuous) #1</v>
      </c>
      <c r="N119" s="8">
        <f t="shared" si="39"/>
        <v>13</v>
      </c>
      <c r="O119" s="8" t="str">
        <f t="shared" si="40"/>
        <v/>
      </c>
      <c r="P119" s="8" t="str">
        <f t="shared" si="41"/>
        <v/>
      </c>
      <c r="Q119" s="8" t="str">
        <f t="shared" si="46"/>
        <v/>
      </c>
      <c r="R119" s="8" t="str">
        <f t="shared" si="43"/>
        <v/>
      </c>
      <c r="S119" s="8" t="str">
        <f t="shared" si="44"/>
        <v/>
      </c>
      <c r="T119" s="8" t="str">
        <f t="shared" si="45"/>
        <v>Red</v>
      </c>
    </row>
    <row r="120" spans="1:20" ht="16" x14ac:dyDescent="0.2">
      <c r="A120" s="14">
        <v>45754</v>
      </c>
      <c r="B120" s="8" t="str">
        <f t="shared" si="36"/>
        <v>Quarter2</v>
      </c>
      <c r="C120" s="8" t="s">
        <v>857</v>
      </c>
      <c r="D120" s="8" t="str">
        <f t="shared" si="37"/>
        <v>DEL</v>
      </c>
      <c r="E120" s="8" t="s">
        <v>947</v>
      </c>
      <c r="F120" s="13" t="s">
        <v>948</v>
      </c>
      <c r="G120" s="8" t="s">
        <v>715</v>
      </c>
      <c r="H120" s="8" t="str">
        <f t="shared" si="38"/>
        <v>Approach</v>
      </c>
      <c r="I120" s="8" t="s">
        <v>115</v>
      </c>
      <c r="J120" s="13" t="s">
        <v>950</v>
      </c>
      <c r="K120" s="13" t="str">
        <f t="shared" si="23"/>
        <v>ANUBHAV KUMAR | MAX EGT/ITT (Continuous) #1</v>
      </c>
      <c r="L120" s="13" t="str">
        <f t="shared" si="24"/>
        <v>AADIL MOHAMMADSHAFI GANDHI | MAX EGT/ITT (Continuous) #1</v>
      </c>
      <c r="M120" s="13" t="str">
        <f t="shared" si="25"/>
        <v>DEL | MAX EGT/ITT (Continuous) #1</v>
      </c>
      <c r="N120" s="8">
        <f t="shared" si="39"/>
        <v>35</v>
      </c>
      <c r="O120" s="8" t="str">
        <f t="shared" si="40"/>
        <v/>
      </c>
      <c r="P120" s="8" t="str">
        <f t="shared" si="41"/>
        <v/>
      </c>
      <c r="Q120" s="8" t="str">
        <f t="shared" si="46"/>
        <v/>
      </c>
      <c r="R120" s="8" t="str">
        <f t="shared" si="43"/>
        <v/>
      </c>
      <c r="S120" s="8" t="str">
        <f t="shared" si="44"/>
        <v/>
      </c>
      <c r="T120" s="8" t="str">
        <f t="shared" si="45"/>
        <v>Red</v>
      </c>
    </row>
    <row r="121" spans="1:20" ht="16" x14ac:dyDescent="0.2">
      <c r="A121" s="14">
        <v>45754</v>
      </c>
      <c r="B121" s="8" t="str">
        <f t="shared" si="36"/>
        <v>Quarter2</v>
      </c>
      <c r="C121" s="8" t="s">
        <v>951</v>
      </c>
      <c r="D121" s="8" t="str">
        <f t="shared" si="37"/>
        <v>PNQ</v>
      </c>
      <c r="E121" s="8" t="s">
        <v>952</v>
      </c>
      <c r="F121" s="8" t="s">
        <v>337</v>
      </c>
      <c r="G121" s="8" t="s">
        <v>715</v>
      </c>
      <c r="H121" s="8" t="str">
        <f t="shared" si="38"/>
        <v>Approach</v>
      </c>
      <c r="I121" s="8" t="s">
        <v>115</v>
      </c>
      <c r="J121" s="13" t="s">
        <v>954</v>
      </c>
      <c r="K121" s="13" t="str">
        <f t="shared" si="23"/>
        <v>ABHIJEET ARUN BHOSALE | MAX EGT/ITT (Continuous) #1</v>
      </c>
      <c r="L121" s="13" t="str">
        <f t="shared" si="24"/>
        <v>AMEYA DINESH PUJARI | MAX EGT/ITT (Continuous) #1</v>
      </c>
      <c r="M121" s="13" t="str">
        <f t="shared" si="25"/>
        <v>PNQ | MAX EGT/ITT (Continuous) #1</v>
      </c>
      <c r="N121" s="8">
        <f t="shared" si="39"/>
        <v>16</v>
      </c>
      <c r="O121" s="8" t="str">
        <f t="shared" si="40"/>
        <v/>
      </c>
      <c r="P121" s="8" t="str">
        <f t="shared" si="41"/>
        <v/>
      </c>
      <c r="Q121" s="8" t="str">
        <f t="shared" si="46"/>
        <v/>
      </c>
      <c r="R121" s="8" t="str">
        <f t="shared" si="43"/>
        <v/>
      </c>
      <c r="S121" s="8" t="str">
        <f t="shared" si="44"/>
        <v/>
      </c>
      <c r="T121" s="8" t="str">
        <f t="shared" si="45"/>
        <v>Red</v>
      </c>
    </row>
    <row r="122" spans="1:20" ht="16" x14ac:dyDescent="0.2">
      <c r="A122" s="14">
        <v>45754</v>
      </c>
      <c r="B122" s="8" t="str">
        <f t="shared" si="36"/>
        <v>Quarter2</v>
      </c>
      <c r="C122" s="8" t="s">
        <v>956</v>
      </c>
      <c r="D122" s="8" t="str">
        <f t="shared" si="37"/>
        <v>VNS</v>
      </c>
      <c r="E122" s="8" t="s">
        <v>952</v>
      </c>
      <c r="F122" s="8" t="s">
        <v>337</v>
      </c>
      <c r="G122" s="8" t="s">
        <v>715</v>
      </c>
      <c r="H122" s="8" t="str">
        <f t="shared" si="38"/>
        <v>Approach</v>
      </c>
      <c r="I122" s="8" t="s">
        <v>115</v>
      </c>
      <c r="J122" s="13" t="s">
        <v>958</v>
      </c>
      <c r="K122" s="13" t="str">
        <f t="shared" si="23"/>
        <v>ABHIJEET ARUN BHOSALE | MAX EGT/ITT (Continuous) #1</v>
      </c>
      <c r="L122" s="13" t="str">
        <f t="shared" si="24"/>
        <v>AMEYA DINESH PUJARI | MAX EGT/ITT (Continuous) #1</v>
      </c>
      <c r="M122" s="13" t="str">
        <f t="shared" si="25"/>
        <v>VNS | MAX EGT/ITT (Continuous) #1</v>
      </c>
      <c r="N122" s="8">
        <f t="shared" si="39"/>
        <v>27</v>
      </c>
      <c r="O122" s="8" t="str">
        <f t="shared" si="40"/>
        <v/>
      </c>
      <c r="P122" s="8" t="str">
        <f t="shared" si="41"/>
        <v/>
      </c>
      <c r="Q122" s="8" t="str">
        <f t="shared" si="46"/>
        <v/>
      </c>
      <c r="R122" s="8" t="str">
        <f t="shared" si="43"/>
        <v/>
      </c>
      <c r="S122" s="8" t="str">
        <f t="shared" si="44"/>
        <v/>
      </c>
      <c r="T122" s="8" t="str">
        <f t="shared" si="45"/>
        <v>Red</v>
      </c>
    </row>
    <row r="123" spans="1:20" ht="32" x14ac:dyDescent="0.2">
      <c r="A123" s="12">
        <v>45755</v>
      </c>
      <c r="B123" s="8" t="str">
        <f t="shared" si="36"/>
        <v>Quarter2</v>
      </c>
      <c r="C123" s="13" t="s">
        <v>146</v>
      </c>
      <c r="D123" s="8" t="str">
        <f t="shared" si="37"/>
        <v>PNQ</v>
      </c>
      <c r="E123" s="13" t="s">
        <v>619</v>
      </c>
      <c r="F123" s="13" t="s">
        <v>961</v>
      </c>
      <c r="G123" s="8" t="s">
        <v>24</v>
      </c>
      <c r="H123" s="8" t="str">
        <f t="shared" si="38"/>
        <v>Approach</v>
      </c>
      <c r="I123" s="8" t="s">
        <v>115</v>
      </c>
      <c r="J123" s="13" t="s">
        <v>974</v>
      </c>
      <c r="K123" s="13" t="str">
        <f t="shared" si="23"/>
        <v>MANAS CHATTERJEE | High Rate of Descent (500-100 ft)</v>
      </c>
      <c r="L123" s="13" t="str">
        <f t="shared" si="24"/>
        <v>SUNIL PREMCHAND NARWANI | High Rate of Descent (500-100 ft)</v>
      </c>
      <c r="M123" s="13" t="str">
        <f t="shared" si="25"/>
        <v>PNQ | High Rate of Descent (500-100 ft)</v>
      </c>
      <c r="N123" s="8">
        <f t="shared" si="39"/>
        <v>8</v>
      </c>
      <c r="O123" s="8" t="str">
        <f t="shared" si="40"/>
        <v/>
      </c>
      <c r="P123" s="8">
        <f t="shared" si="41"/>
        <v>2421</v>
      </c>
      <c r="Q123" s="8" t="str">
        <f t="shared" si="46"/>
        <v/>
      </c>
      <c r="R123" s="8">
        <f t="shared" si="43"/>
        <v>1170</v>
      </c>
      <c r="S123" s="8" t="str">
        <f t="shared" si="44"/>
        <v/>
      </c>
      <c r="T123" s="8" t="str">
        <f t="shared" si="45"/>
        <v>Red</v>
      </c>
    </row>
    <row r="124" spans="1:20" ht="32" x14ac:dyDescent="0.2">
      <c r="A124" s="12">
        <v>45755</v>
      </c>
      <c r="B124" s="8" t="str">
        <f t="shared" si="36"/>
        <v>Quarter2</v>
      </c>
      <c r="C124" s="8" t="s">
        <v>895</v>
      </c>
      <c r="D124" s="8" t="str">
        <f t="shared" si="37"/>
        <v>SXR</v>
      </c>
      <c r="E124" s="8" t="s">
        <v>962</v>
      </c>
      <c r="F124" s="8" t="s">
        <v>184</v>
      </c>
      <c r="G124" s="8" t="s">
        <v>24</v>
      </c>
      <c r="H124" s="8" t="str">
        <f t="shared" si="38"/>
        <v>Approach</v>
      </c>
      <c r="I124" s="8" t="s">
        <v>115</v>
      </c>
      <c r="J124" s="13" t="s">
        <v>976</v>
      </c>
      <c r="K124" s="13" t="str">
        <f t="shared" si="23"/>
        <v>SOUMYA SIVA GHOSH | High Rate of Descent (500-100 ft)</v>
      </c>
      <c r="L124" s="13" t="str">
        <f t="shared" si="24"/>
        <v>RUCHIR MANDAVIA | High Rate of Descent (500-100 ft)</v>
      </c>
      <c r="M124" s="13" t="str">
        <f t="shared" si="25"/>
        <v>SXR | High Rate of Descent (500-100 ft)</v>
      </c>
      <c r="N124" s="8">
        <f t="shared" si="39"/>
        <v>6</v>
      </c>
      <c r="O124" s="8" t="str">
        <f t="shared" si="40"/>
        <v/>
      </c>
      <c r="P124" s="8">
        <f t="shared" si="41"/>
        <v>5776</v>
      </c>
      <c r="Q124" s="8" t="str">
        <f t="shared" si="46"/>
        <v/>
      </c>
      <c r="R124" s="8">
        <f t="shared" si="43"/>
        <v>1185</v>
      </c>
      <c r="S124" s="8" t="str">
        <f t="shared" si="44"/>
        <v/>
      </c>
      <c r="T124" s="8" t="str">
        <f t="shared" si="45"/>
        <v>Red</v>
      </c>
    </row>
    <row r="125" spans="1:20" ht="32" x14ac:dyDescent="0.2">
      <c r="A125" s="12">
        <v>45755</v>
      </c>
      <c r="B125" s="8" t="str">
        <f t="shared" si="36"/>
        <v>Quarter2</v>
      </c>
      <c r="C125" s="8" t="s">
        <v>857</v>
      </c>
      <c r="D125" s="8" t="str">
        <f t="shared" si="37"/>
        <v>DEL</v>
      </c>
      <c r="E125" s="8" t="s">
        <v>829</v>
      </c>
      <c r="F125" s="8" t="s">
        <v>170</v>
      </c>
      <c r="G125" s="8" t="s">
        <v>24</v>
      </c>
      <c r="H125" s="8" t="str">
        <f t="shared" si="38"/>
        <v>Approach</v>
      </c>
      <c r="I125" s="8" t="s">
        <v>203</v>
      </c>
      <c r="J125" s="13" t="s">
        <v>977</v>
      </c>
      <c r="K125" s="13" t="str">
        <f t="shared" si="23"/>
        <v>PUNEET SHARMA | High Rate of Descent (500-100 ft)</v>
      </c>
      <c r="L125" s="13" t="str">
        <f t="shared" si="24"/>
        <v>SANJANA SANJAY AMRITE | High Rate of Descent (500-100 ft)</v>
      </c>
      <c r="M125" s="13" t="str">
        <f t="shared" si="25"/>
        <v>DEL | High Rate of Descent (500-100 ft)</v>
      </c>
      <c r="N125" s="8">
        <f t="shared" si="39"/>
        <v>5</v>
      </c>
      <c r="O125" s="8" t="str">
        <f t="shared" si="40"/>
        <v/>
      </c>
      <c r="P125" s="8">
        <f t="shared" si="41"/>
        <v>1125</v>
      </c>
      <c r="Q125" s="8" t="str">
        <f t="shared" si="46"/>
        <v/>
      </c>
      <c r="R125" s="8">
        <f t="shared" si="43"/>
        <v>1350</v>
      </c>
      <c r="S125" s="8" t="str">
        <f t="shared" si="44"/>
        <v/>
      </c>
      <c r="T125" s="8" t="str">
        <f t="shared" si="45"/>
        <v>Red</v>
      </c>
    </row>
    <row r="126" spans="1:20" ht="16" x14ac:dyDescent="0.2">
      <c r="A126" s="12">
        <v>45755</v>
      </c>
      <c r="B126" s="8" t="str">
        <f t="shared" si="36"/>
        <v>Quarter2</v>
      </c>
      <c r="C126" s="8" t="s">
        <v>857</v>
      </c>
      <c r="D126" s="8" t="str">
        <f t="shared" si="37"/>
        <v>DEL</v>
      </c>
      <c r="E126" s="8" t="s">
        <v>829</v>
      </c>
      <c r="F126" s="13" t="s">
        <v>170</v>
      </c>
      <c r="G126" s="8" t="s">
        <v>27</v>
      </c>
      <c r="H126" s="8" t="str">
        <f t="shared" si="38"/>
        <v>Approach</v>
      </c>
      <c r="I126" s="13" t="s">
        <v>157</v>
      </c>
      <c r="J126" s="13" t="s">
        <v>978</v>
      </c>
      <c r="K126" s="13" t="str">
        <f t="shared" si="23"/>
        <v>PUNEET SHARMA | Go around</v>
      </c>
      <c r="L126" s="13" t="str">
        <f t="shared" si="24"/>
        <v>SANJANA SANJAY AMRITE | Go around</v>
      </c>
      <c r="M126" s="13" t="str">
        <f t="shared" si="25"/>
        <v>DEL | Go around</v>
      </c>
      <c r="N126" s="8" t="str">
        <f t="shared" si="39"/>
        <v/>
      </c>
      <c r="O126" s="8" t="str">
        <f t="shared" si="40"/>
        <v/>
      </c>
      <c r="P126" s="8" t="str">
        <f t="shared" si="41"/>
        <v/>
      </c>
      <c r="Q126" s="8" t="str">
        <f t="shared" si="46"/>
        <v/>
      </c>
      <c r="R126" s="8" t="str">
        <f t="shared" si="43"/>
        <v/>
      </c>
      <c r="S126" s="8">
        <f t="shared" si="44"/>
        <v>302</v>
      </c>
      <c r="T126" s="8" t="str">
        <f t="shared" si="45"/>
        <v>Red</v>
      </c>
    </row>
    <row r="127" spans="1:20" ht="16" x14ac:dyDescent="0.2">
      <c r="A127" s="12">
        <v>45755</v>
      </c>
      <c r="B127" s="8" t="str">
        <f t="shared" ref="B127:B153" si="47">"Quarter" &amp; INT((MONTH(A127)-1)/3)+1</f>
        <v>Quarter2</v>
      </c>
      <c r="C127" s="13" t="s">
        <v>111</v>
      </c>
      <c r="D127" s="8" t="str">
        <f t="shared" ref="D127:D153" si="48">IF(OR(
    ISNUMBER(SEARCH("Taxi", G127)),
    ISNUMBER(SEARCH("Take-off", G127)),
    ISNUMBER(SEARCH("Climb", G127))
),
    LEFT(C127, FIND("-", C127)-1),
    RIGHT(C127, LEN(C127) - FIND("-", C127))
)</f>
        <v>SXR</v>
      </c>
      <c r="E127" s="13" t="s">
        <v>493</v>
      </c>
      <c r="F127" s="13" t="s">
        <v>538</v>
      </c>
      <c r="G127" s="8" t="s">
        <v>27</v>
      </c>
      <c r="H127" s="8" t="str">
        <f t="shared" ref="H127:H153" si="49">IF(OR(ISNUMBER(SEARCH("Taxi", G127))), "Taxi",
 IF(OR(ISNUMBER(SEARCH("Take-off", G127)), ISNUMBER(SEARCH("Climb", G127)), ISNUMBER(SEARCH("Gear Retraction", G127)), ISNUMBER(SEARCH("Config Change", G127))), "Climb",
 IF(ISNUMBER(SEARCH("Cruise", G127)), "Cruise",
 "Approach")))</f>
        <v>Approach</v>
      </c>
      <c r="I127" s="13" t="s">
        <v>157</v>
      </c>
      <c r="J127" s="13" t="s">
        <v>982</v>
      </c>
      <c r="K127" s="13" t="str">
        <f t="shared" si="23"/>
        <v>VINAY KUMAR SINGH | Go around</v>
      </c>
      <c r="L127" s="13" t="str">
        <f t="shared" si="24"/>
        <v>MANISH SINGH | Go around</v>
      </c>
      <c r="M127" s="13" t="str">
        <f t="shared" si="25"/>
        <v>SXR | Go around</v>
      </c>
      <c r="N127" s="8" t="str">
        <f t="shared" ref="N127:N153" si="50">IFERROR(VALUE(MID(J127,FIND("for ",J127)+4,FIND(" sec",J127)-FIND("for ",J127)-4)),"")</f>
        <v/>
      </c>
      <c r="O127" s="8" t="str">
        <f t="shared" ref="O127:O153" si="51">IFERROR(VALUE(MID(J127,FIND("Max Deviation ",J127)+14,FIND(" at",J127)-FIND("Max Deviation ",J127)-14)),"")</f>
        <v/>
      </c>
      <c r="P127" s="8" t="str">
        <f t="shared" ref="P127:P153" si="52">IFERROR(VALUE(MID(J127,FIND("Altitude:",J127)+9,FIND(" ft",J127)-FIND("Altitude:",J127)-9)),"")</f>
        <v/>
      </c>
      <c r="Q127" s="8" t="str">
        <f t="shared" si="46"/>
        <v/>
      </c>
      <c r="R127" s="8" t="str">
        <f t="shared" ref="R127:R153" si="53">IFERROR(VALUE(MID(J127,FIND("Max ROD:",J127)+8,FIND(" fpm",J127)-FIND("Max ROD:",J127)-8)),"")</f>
        <v/>
      </c>
      <c r="S127" s="8">
        <f t="shared" ref="S127:S153" si="54">IFERROR(VALUE(MID(J127,FIND("At ",J127)+3,FIND(" ft",J127)-FIND("At ",J127)-3)),"")</f>
        <v>961</v>
      </c>
      <c r="T127" s="8" t="str">
        <f t="shared" ref="T127:T153" si="55">IF(I127="Information","Amber","Red")</f>
        <v>Red</v>
      </c>
    </row>
    <row r="128" spans="1:20" ht="64" x14ac:dyDescent="0.2">
      <c r="A128" s="12">
        <v>45756</v>
      </c>
      <c r="B128" s="8" t="str">
        <f t="shared" si="47"/>
        <v>Quarter2</v>
      </c>
      <c r="C128" s="13" t="s">
        <v>95</v>
      </c>
      <c r="D128" s="8" t="str">
        <f t="shared" si="48"/>
        <v>DEL</v>
      </c>
      <c r="E128" s="13" t="s">
        <v>768</v>
      </c>
      <c r="F128" s="13" t="s">
        <v>741</v>
      </c>
      <c r="G128" s="8" t="s">
        <v>232</v>
      </c>
      <c r="H128" s="8" t="str">
        <f t="shared" si="49"/>
        <v>Approach</v>
      </c>
      <c r="I128" s="8" t="s">
        <v>115</v>
      </c>
      <c r="J128" s="13" t="s">
        <v>986</v>
      </c>
      <c r="K128" s="13" t="str">
        <f t="shared" si="23"/>
        <v>NEENA SINGH | Long landing</v>
      </c>
      <c r="L128" s="13" t="str">
        <f t="shared" si="24"/>
        <v>VIRENDRA MALHOTRA | Long landing</v>
      </c>
      <c r="M128" s="13" t="str">
        <f t="shared" si="25"/>
        <v>DEL | Long landing</v>
      </c>
      <c r="N128" s="8" t="str">
        <f t="shared" si="50"/>
        <v/>
      </c>
      <c r="O128" s="8" t="str">
        <f t="shared" si="51"/>
        <v/>
      </c>
      <c r="P128" s="8" t="str">
        <f t="shared" si="52"/>
        <v/>
      </c>
      <c r="Q128" s="8" t="str">
        <f t="shared" si="46"/>
        <v/>
      </c>
      <c r="R128" s="8" t="str">
        <f t="shared" si="53"/>
        <v/>
      </c>
      <c r="S128" s="8">
        <f t="shared" si="54"/>
        <v>46</v>
      </c>
      <c r="T128" s="8" t="str">
        <f t="shared" si="55"/>
        <v>Red</v>
      </c>
    </row>
    <row r="129" spans="1:20" ht="16" x14ac:dyDescent="0.2">
      <c r="A129" s="12">
        <v>45756</v>
      </c>
      <c r="B129" s="8" t="str">
        <f t="shared" si="47"/>
        <v>Quarter2</v>
      </c>
      <c r="C129" s="8" t="s">
        <v>146</v>
      </c>
      <c r="D129" s="8" t="str">
        <f t="shared" si="48"/>
        <v>PNQ</v>
      </c>
      <c r="E129" s="8" t="s">
        <v>222</v>
      </c>
      <c r="F129" s="8" t="s">
        <v>433</v>
      </c>
      <c r="G129" s="8" t="s">
        <v>988</v>
      </c>
      <c r="H129" s="8" t="str">
        <f t="shared" si="49"/>
        <v>Approach</v>
      </c>
      <c r="I129" s="8" t="s">
        <v>115</v>
      </c>
      <c r="J129" s="13" t="s">
        <v>990</v>
      </c>
      <c r="K129" s="13" t="str">
        <f t="shared" si="23"/>
        <v>RASHMI SHARMA | GPWS (TOO LOW TERRAIN)</v>
      </c>
      <c r="L129" s="13" t="str">
        <f t="shared" si="24"/>
        <v>NITISH SINGH | GPWS (TOO LOW TERRAIN)</v>
      </c>
      <c r="M129" s="13" t="str">
        <f t="shared" si="25"/>
        <v>PNQ | GPWS (TOO LOW TERRAIN)</v>
      </c>
      <c r="N129" s="8">
        <f t="shared" si="50"/>
        <v>8</v>
      </c>
      <c r="O129" s="8" t="str">
        <f t="shared" si="51"/>
        <v/>
      </c>
      <c r="P129" s="8" t="str">
        <f t="shared" si="52"/>
        <v/>
      </c>
      <c r="Q129" s="8" t="str">
        <f t="shared" si="46"/>
        <v/>
      </c>
      <c r="R129" s="8" t="str">
        <f t="shared" si="53"/>
        <v/>
      </c>
      <c r="S129" s="8" t="str">
        <f t="shared" si="54"/>
        <v/>
      </c>
      <c r="T129" s="8" t="str">
        <f t="shared" si="55"/>
        <v>Red</v>
      </c>
    </row>
    <row r="130" spans="1:20" ht="32" x14ac:dyDescent="0.2">
      <c r="A130" s="14">
        <v>45758</v>
      </c>
      <c r="B130" s="8" t="str">
        <f t="shared" si="47"/>
        <v>Quarter2</v>
      </c>
      <c r="C130" s="8" t="s">
        <v>995</v>
      </c>
      <c r="D130" s="8" t="str">
        <f t="shared" si="48"/>
        <v>DEL</v>
      </c>
      <c r="E130" s="8" t="s">
        <v>374</v>
      </c>
      <c r="F130" s="8" t="s">
        <v>104</v>
      </c>
      <c r="G130" s="8" t="s">
        <v>996</v>
      </c>
      <c r="H130" s="8" t="str">
        <f t="shared" si="49"/>
        <v>Approach</v>
      </c>
      <c r="I130" s="13" t="s">
        <v>203</v>
      </c>
      <c r="J130" s="13" t="s">
        <v>998</v>
      </c>
      <c r="K130" s="13" t="str">
        <f t="shared" si="23"/>
        <v>HIMANI SAREEN | Stick Shaker</v>
      </c>
      <c r="L130" s="13" t="str">
        <f t="shared" si="24"/>
        <v>SUKIRAT SINGH | Stick Shaker</v>
      </c>
      <c r="M130" s="13" t="str">
        <f t="shared" si="25"/>
        <v>DEL | Stick Shaker</v>
      </c>
      <c r="N130" s="8" t="str">
        <f t="shared" si="50"/>
        <v/>
      </c>
      <c r="O130" s="8" t="str">
        <f t="shared" si="51"/>
        <v/>
      </c>
      <c r="P130" s="8">
        <f t="shared" si="52"/>
        <v>6734</v>
      </c>
      <c r="Q130" s="8" t="str">
        <f t="shared" si="46"/>
        <v/>
      </c>
      <c r="R130" s="8" t="str">
        <f t="shared" si="53"/>
        <v/>
      </c>
      <c r="S130" s="8" t="str">
        <f t="shared" si="54"/>
        <v/>
      </c>
      <c r="T130" s="8" t="str">
        <f t="shared" si="55"/>
        <v>Red</v>
      </c>
    </row>
    <row r="131" spans="1:20" ht="16" x14ac:dyDescent="0.2">
      <c r="A131" s="14">
        <v>45760</v>
      </c>
      <c r="B131" s="8" t="str">
        <f t="shared" si="47"/>
        <v>Quarter2</v>
      </c>
      <c r="C131" s="8" t="s">
        <v>63</v>
      </c>
      <c r="D131" s="8" t="str">
        <f t="shared" si="48"/>
        <v>IXB</v>
      </c>
      <c r="E131" s="8" t="s">
        <v>189</v>
      </c>
      <c r="F131" s="8" t="s">
        <v>1008</v>
      </c>
      <c r="G131" s="13" t="s">
        <v>196</v>
      </c>
      <c r="H131" s="8" t="str">
        <f t="shared" si="49"/>
        <v>Climb</v>
      </c>
      <c r="I131" s="8" t="s">
        <v>115</v>
      </c>
      <c r="J131" s="13" t="s">
        <v>1010</v>
      </c>
      <c r="K131" s="13" t="str">
        <f t="shared" ref="K131:K194" si="56">E131 &amp; " | " &amp; G131</f>
        <v>SURABHI | Pitch Rate High During Take-off (Average)</v>
      </c>
      <c r="L131" s="13" t="str">
        <f t="shared" ref="L131:L194" si="57">F131 &amp; " | " &amp; G131</f>
        <v>AVIN SHARMA | Pitch Rate High During Take-off (Average)</v>
      </c>
      <c r="M131" s="13" t="str">
        <f t="shared" ref="M131:M194" si="58">D131 &amp; " | " &amp; G131</f>
        <v>IXB | Pitch Rate High During Take-off (Average)</v>
      </c>
      <c r="N131" s="8" t="str">
        <f t="shared" si="50"/>
        <v/>
      </c>
      <c r="O131" s="8" t="str">
        <f t="shared" si="51"/>
        <v/>
      </c>
      <c r="P131" s="8" t="str">
        <f t="shared" si="52"/>
        <v/>
      </c>
      <c r="Q131" s="8" t="str">
        <f t="shared" si="46"/>
        <v/>
      </c>
      <c r="R131" s="8" t="str">
        <f t="shared" si="53"/>
        <v/>
      </c>
      <c r="S131" s="8" t="str">
        <f t="shared" si="54"/>
        <v/>
      </c>
      <c r="T131" s="8" t="str">
        <f t="shared" si="55"/>
        <v>Red</v>
      </c>
    </row>
    <row r="132" spans="1:20" ht="32" x14ac:dyDescent="0.2">
      <c r="A132" s="14">
        <v>45763</v>
      </c>
      <c r="B132" s="8" t="str">
        <f t="shared" si="47"/>
        <v>Quarter2</v>
      </c>
      <c r="C132" s="8" t="s">
        <v>111</v>
      </c>
      <c r="D132" s="8" t="str">
        <f t="shared" si="48"/>
        <v>SXR</v>
      </c>
      <c r="E132" s="8" t="s">
        <v>336</v>
      </c>
      <c r="F132" s="8" t="s">
        <v>348</v>
      </c>
      <c r="G132" s="8" t="s">
        <v>1021</v>
      </c>
      <c r="H132" s="8" t="str">
        <f t="shared" si="49"/>
        <v>Approach</v>
      </c>
      <c r="I132" s="8" t="s">
        <v>115</v>
      </c>
      <c r="J132" s="26" t="s">
        <v>1026</v>
      </c>
      <c r="K132" s="13" t="str">
        <f t="shared" si="56"/>
        <v>MANDEEP KAUR. | Low Normal Acceleration (Air)</v>
      </c>
      <c r="L132" s="13" t="str">
        <f t="shared" si="57"/>
        <v>KARAN MALHOTRA | Low Normal Acceleration (Air)</v>
      </c>
      <c r="M132" s="13" t="str">
        <f t="shared" si="58"/>
        <v>SXR | Low Normal Acceleration (Air)</v>
      </c>
      <c r="N132" s="8" t="str">
        <f t="shared" si="50"/>
        <v/>
      </c>
      <c r="O132" s="8" t="str">
        <f t="shared" si="51"/>
        <v/>
      </c>
      <c r="P132" s="8" t="str">
        <f t="shared" si="52"/>
        <v/>
      </c>
      <c r="Q132" s="8" t="str">
        <f t="shared" si="46"/>
        <v/>
      </c>
      <c r="R132" s="8" t="str">
        <f t="shared" si="53"/>
        <v/>
      </c>
      <c r="S132" s="8" t="str">
        <f t="shared" si="54"/>
        <v/>
      </c>
      <c r="T132" s="8" t="str">
        <f t="shared" si="55"/>
        <v>Red</v>
      </c>
    </row>
    <row r="133" spans="1:20" ht="32" x14ac:dyDescent="0.2">
      <c r="A133" s="14">
        <v>45764</v>
      </c>
      <c r="B133" s="8" t="str">
        <f t="shared" si="47"/>
        <v>Quarter2</v>
      </c>
      <c r="C133" s="8" t="s">
        <v>111</v>
      </c>
      <c r="D133" s="8" t="str">
        <f t="shared" si="48"/>
        <v>SXR</v>
      </c>
      <c r="E133" s="8" t="s">
        <v>112</v>
      </c>
      <c r="F133" s="8" t="s">
        <v>113</v>
      </c>
      <c r="G133" s="8" t="s">
        <v>24</v>
      </c>
      <c r="H133" s="8" t="str">
        <f t="shared" si="49"/>
        <v>Approach</v>
      </c>
      <c r="I133" s="8" t="s">
        <v>115</v>
      </c>
      <c r="J133" s="13" t="s">
        <v>1029</v>
      </c>
      <c r="K133" s="13" t="str">
        <f t="shared" si="56"/>
        <v>ANAND MURTHY TIWARI | High Rate of Descent (500-100 ft)</v>
      </c>
      <c r="L133" s="13" t="str">
        <f t="shared" si="57"/>
        <v>ANUPAM SHARMA. | High Rate of Descent (500-100 ft)</v>
      </c>
      <c r="M133" s="13" t="str">
        <f t="shared" si="58"/>
        <v>SXR | High Rate of Descent (500-100 ft)</v>
      </c>
      <c r="N133" s="8">
        <f t="shared" si="50"/>
        <v>4</v>
      </c>
      <c r="O133" s="8" t="str">
        <f t="shared" si="51"/>
        <v/>
      </c>
      <c r="P133" s="8">
        <f t="shared" si="52"/>
        <v>5594</v>
      </c>
      <c r="Q133" s="8" t="str">
        <f t="shared" si="46"/>
        <v/>
      </c>
      <c r="R133" s="8">
        <f t="shared" si="53"/>
        <v>1200</v>
      </c>
      <c r="S133" s="8" t="str">
        <f t="shared" si="54"/>
        <v/>
      </c>
      <c r="T133" s="8" t="str">
        <f t="shared" si="55"/>
        <v>Red</v>
      </c>
    </row>
    <row r="134" spans="1:20" ht="16" x14ac:dyDescent="0.2">
      <c r="A134" s="14">
        <v>45765</v>
      </c>
      <c r="B134" s="8" t="str">
        <f t="shared" si="47"/>
        <v>Quarter2</v>
      </c>
      <c r="C134" s="8" t="s">
        <v>111</v>
      </c>
      <c r="D134" s="8" t="str">
        <f t="shared" si="48"/>
        <v>SXR</v>
      </c>
      <c r="E134" s="8" t="s">
        <v>684</v>
      </c>
      <c r="F134" s="8" t="s">
        <v>824</v>
      </c>
      <c r="G134" s="8" t="s">
        <v>778</v>
      </c>
      <c r="H134" s="8" t="str">
        <f t="shared" si="49"/>
        <v>Approach</v>
      </c>
      <c r="I134" s="8" t="s">
        <v>115</v>
      </c>
      <c r="J134" s="13" t="s">
        <v>1034</v>
      </c>
      <c r="K134" s="13" t="str">
        <f t="shared" si="56"/>
        <v>DIVYANSHU CHATURVEDI | MAX EGT/ITT (Continuous) #2</v>
      </c>
      <c r="L134" s="13" t="str">
        <f t="shared" si="57"/>
        <v>VINAY FAUZDAR | MAX EGT/ITT (Continuous) #2</v>
      </c>
      <c r="M134" s="13" t="str">
        <f t="shared" si="58"/>
        <v>SXR | MAX EGT/ITT (Continuous) #2</v>
      </c>
      <c r="N134" s="8">
        <f t="shared" si="50"/>
        <v>31</v>
      </c>
      <c r="O134" s="8" t="str">
        <f t="shared" si="51"/>
        <v/>
      </c>
      <c r="P134" s="8" t="str">
        <f t="shared" si="52"/>
        <v/>
      </c>
      <c r="Q134" s="8" t="str">
        <f t="shared" si="46"/>
        <v/>
      </c>
      <c r="R134" s="8" t="str">
        <f t="shared" si="53"/>
        <v/>
      </c>
      <c r="S134" s="8" t="str">
        <f t="shared" si="54"/>
        <v/>
      </c>
      <c r="T134" s="8" t="str">
        <f t="shared" si="55"/>
        <v>Red</v>
      </c>
    </row>
    <row r="135" spans="1:20" ht="16" x14ac:dyDescent="0.2">
      <c r="A135" s="14">
        <v>45765</v>
      </c>
      <c r="B135" s="8" t="str">
        <f t="shared" si="47"/>
        <v>Quarter2</v>
      </c>
      <c r="C135" s="8" t="s">
        <v>1002</v>
      </c>
      <c r="D135" s="8" t="str">
        <f t="shared" si="48"/>
        <v>DEL</v>
      </c>
      <c r="E135" s="8" t="s">
        <v>300</v>
      </c>
      <c r="F135" s="8" t="s">
        <v>74</v>
      </c>
      <c r="G135" s="8" t="s">
        <v>778</v>
      </c>
      <c r="H135" s="8" t="str">
        <f t="shared" si="49"/>
        <v>Approach</v>
      </c>
      <c r="I135" s="8" t="s">
        <v>115</v>
      </c>
      <c r="J135" s="13" t="s">
        <v>1035</v>
      </c>
      <c r="K135" s="13" t="str">
        <f t="shared" si="56"/>
        <v>ARVINDER SINGH | MAX EGT/ITT (Continuous) #2</v>
      </c>
      <c r="L135" s="13" t="str">
        <f t="shared" si="57"/>
        <v>ROSHYA SEBI | MAX EGT/ITT (Continuous) #2</v>
      </c>
      <c r="M135" s="13" t="str">
        <f t="shared" si="58"/>
        <v>DEL | MAX EGT/ITT (Continuous) #2</v>
      </c>
      <c r="N135" s="8">
        <f t="shared" si="50"/>
        <v>3</v>
      </c>
      <c r="O135" s="8" t="str">
        <f t="shared" si="51"/>
        <v/>
      </c>
      <c r="P135" s="8" t="str">
        <f t="shared" si="52"/>
        <v/>
      </c>
      <c r="Q135" s="8" t="str">
        <f t="shared" si="46"/>
        <v/>
      </c>
      <c r="R135" s="8" t="str">
        <f t="shared" si="53"/>
        <v/>
      </c>
      <c r="S135" s="8" t="str">
        <f t="shared" si="54"/>
        <v/>
      </c>
      <c r="T135" s="8" t="str">
        <f t="shared" si="55"/>
        <v>Red</v>
      </c>
    </row>
    <row r="136" spans="1:20" ht="32" x14ac:dyDescent="0.2">
      <c r="A136" s="14">
        <v>45766</v>
      </c>
      <c r="B136" s="8" t="str">
        <f t="shared" si="47"/>
        <v>Quarter2</v>
      </c>
      <c r="C136" s="8" t="s">
        <v>465</v>
      </c>
      <c r="D136" s="8" t="str">
        <f t="shared" si="48"/>
        <v>DEL</v>
      </c>
      <c r="E136" s="8" t="s">
        <v>1044</v>
      </c>
      <c r="F136" s="8" t="s">
        <v>303</v>
      </c>
      <c r="G136" s="8" t="s">
        <v>53</v>
      </c>
      <c r="H136" s="8" t="str">
        <f t="shared" si="49"/>
        <v>Approach</v>
      </c>
      <c r="I136" s="8" t="s">
        <v>115</v>
      </c>
      <c r="J136" s="13" t="s">
        <v>1043</v>
      </c>
      <c r="K136" s="13" t="str">
        <f t="shared" si="56"/>
        <v>KAPIL KUMAR MANGLIK | Low Rate of Descent (&lt;1000 ft)</v>
      </c>
      <c r="L136" s="13" t="str">
        <f t="shared" si="57"/>
        <v>AMALENDU | Low Rate of Descent (&lt;1000 ft)</v>
      </c>
      <c r="M136" s="13" t="str">
        <f t="shared" si="58"/>
        <v>DEL | Low Rate of Descent (&lt;1000 ft)</v>
      </c>
      <c r="N136" s="8">
        <f t="shared" si="50"/>
        <v>4</v>
      </c>
      <c r="O136" s="8" t="str">
        <f t="shared" si="51"/>
        <v/>
      </c>
      <c r="P136" s="8" t="str">
        <f t="shared" si="52"/>
        <v/>
      </c>
      <c r="Q136" s="8" t="str">
        <f t="shared" si="46"/>
        <v/>
      </c>
      <c r="R136" s="8" t="str">
        <f t="shared" si="53"/>
        <v/>
      </c>
      <c r="S136" s="8" t="str">
        <f t="shared" si="54"/>
        <v/>
      </c>
      <c r="T136" s="8" t="str">
        <f t="shared" si="55"/>
        <v>Red</v>
      </c>
    </row>
    <row r="137" spans="1:20" ht="16" x14ac:dyDescent="0.2">
      <c r="A137" s="14">
        <v>45766</v>
      </c>
      <c r="B137" s="8" t="str">
        <f t="shared" si="47"/>
        <v>Quarter2</v>
      </c>
      <c r="C137" s="8" t="s">
        <v>51</v>
      </c>
      <c r="D137" s="8" t="str">
        <f t="shared" si="48"/>
        <v>CCU</v>
      </c>
      <c r="E137" s="8" t="s">
        <v>962</v>
      </c>
      <c r="F137" s="8" t="s">
        <v>550</v>
      </c>
      <c r="G137" s="8" t="s">
        <v>27</v>
      </c>
      <c r="H137" s="8" t="str">
        <f t="shared" si="49"/>
        <v>Approach</v>
      </c>
      <c r="I137" s="8" t="s">
        <v>157</v>
      </c>
      <c r="J137" s="13" t="s">
        <v>1048</v>
      </c>
      <c r="K137" s="13" t="str">
        <f t="shared" si="56"/>
        <v>SOUMYA SIVA GHOSH | Go around</v>
      </c>
      <c r="L137" s="13" t="str">
        <f t="shared" si="57"/>
        <v>ANJUL PRAVEEN TOPPO | Go around</v>
      </c>
      <c r="M137" s="13" t="str">
        <f t="shared" si="58"/>
        <v>CCU | Go around</v>
      </c>
      <c r="N137" s="8" t="str">
        <f t="shared" si="50"/>
        <v/>
      </c>
      <c r="O137" s="8" t="str">
        <f t="shared" si="51"/>
        <v/>
      </c>
      <c r="P137" s="8" t="str">
        <f t="shared" si="52"/>
        <v/>
      </c>
      <c r="Q137" s="8" t="str">
        <f t="shared" si="46"/>
        <v/>
      </c>
      <c r="R137" s="8" t="str">
        <f t="shared" si="53"/>
        <v/>
      </c>
      <c r="S137" s="8">
        <f t="shared" si="54"/>
        <v>1140</v>
      </c>
      <c r="T137" s="8" t="str">
        <f t="shared" si="55"/>
        <v>Red</v>
      </c>
    </row>
    <row r="138" spans="1:20" ht="16" x14ac:dyDescent="0.2">
      <c r="A138" s="14">
        <v>45767</v>
      </c>
      <c r="B138" s="8" t="str">
        <f t="shared" si="47"/>
        <v>Quarter2</v>
      </c>
      <c r="C138" s="8" t="s">
        <v>1054</v>
      </c>
      <c r="D138" s="8" t="str">
        <f t="shared" si="48"/>
        <v>DED</v>
      </c>
      <c r="E138" s="8" t="s">
        <v>46</v>
      </c>
      <c r="F138" s="8" t="s">
        <v>184</v>
      </c>
      <c r="G138" s="8" t="s">
        <v>1055</v>
      </c>
      <c r="H138" s="8" t="str">
        <f t="shared" si="49"/>
        <v>Climb</v>
      </c>
      <c r="I138" s="8" t="s">
        <v>115</v>
      </c>
      <c r="J138" s="13" t="s">
        <v>1061</v>
      </c>
      <c r="K138" s="13" t="str">
        <f t="shared" si="56"/>
        <v>SANJEEV KUMAR | Gear Retraction Speed Exceeded</v>
      </c>
      <c r="L138" s="13" t="str">
        <f t="shared" si="57"/>
        <v>RUCHIR MANDAVIA | Gear Retraction Speed Exceeded</v>
      </c>
      <c r="M138" s="13" t="str">
        <f t="shared" si="58"/>
        <v>DED | Gear Retraction Speed Exceeded</v>
      </c>
      <c r="N138" s="8" t="str">
        <f t="shared" si="50"/>
        <v/>
      </c>
      <c r="O138" s="8" t="str">
        <f t="shared" si="51"/>
        <v/>
      </c>
      <c r="P138" s="8">
        <f t="shared" si="52"/>
        <v>21167</v>
      </c>
      <c r="Q138" s="8" t="str">
        <f t="shared" ref="Q138:Q171" si="59">IFERROR(VALUE(MID(J138,FIND("Max CAS:",J138)+8,FIND(" kts",J138)-FIND("Max CAS:",J138)-8)),"")</f>
        <v/>
      </c>
      <c r="R138" s="8" t="str">
        <f t="shared" si="53"/>
        <v/>
      </c>
      <c r="S138" s="8" t="str">
        <f t="shared" si="54"/>
        <v/>
      </c>
      <c r="T138" s="8" t="str">
        <f t="shared" si="55"/>
        <v>Red</v>
      </c>
    </row>
    <row r="139" spans="1:20" ht="32" x14ac:dyDescent="0.2">
      <c r="A139" s="14">
        <v>45768</v>
      </c>
      <c r="B139" s="8" t="str">
        <f t="shared" si="47"/>
        <v>Quarter2</v>
      </c>
      <c r="C139" s="8" t="s">
        <v>373</v>
      </c>
      <c r="D139" s="8" t="str">
        <f t="shared" si="48"/>
        <v>SXR</v>
      </c>
      <c r="E139" s="8" t="s">
        <v>112</v>
      </c>
      <c r="F139" s="8" t="s">
        <v>400</v>
      </c>
      <c r="G139" s="8" t="s">
        <v>24</v>
      </c>
      <c r="H139" s="8" t="str">
        <f t="shared" si="49"/>
        <v>Approach</v>
      </c>
      <c r="I139" s="8" t="s">
        <v>115</v>
      </c>
      <c r="J139" s="13" t="s">
        <v>1062</v>
      </c>
      <c r="K139" s="13" t="str">
        <f t="shared" si="56"/>
        <v>ANAND MURTHY TIWARI | High Rate of Descent (500-100 ft)</v>
      </c>
      <c r="L139" s="13" t="str">
        <f t="shared" si="57"/>
        <v>MOHIT KADIAN | High Rate of Descent (500-100 ft)</v>
      </c>
      <c r="M139" s="13" t="str">
        <f t="shared" si="58"/>
        <v>SXR | High Rate of Descent (500-100 ft)</v>
      </c>
      <c r="N139" s="8">
        <f t="shared" si="50"/>
        <v>6</v>
      </c>
      <c r="O139" s="8" t="str">
        <f t="shared" si="51"/>
        <v/>
      </c>
      <c r="P139" s="8">
        <f t="shared" si="52"/>
        <v>5792</v>
      </c>
      <c r="Q139" s="8" t="str">
        <f t="shared" si="59"/>
        <v/>
      </c>
      <c r="R139" s="8">
        <f t="shared" si="53"/>
        <v>1152</v>
      </c>
      <c r="S139" s="8" t="str">
        <f t="shared" si="54"/>
        <v/>
      </c>
      <c r="T139" s="8" t="str">
        <f t="shared" si="55"/>
        <v>Red</v>
      </c>
    </row>
    <row r="140" spans="1:20" ht="16" x14ac:dyDescent="0.2">
      <c r="A140" s="14">
        <v>45768</v>
      </c>
      <c r="B140" s="8" t="str">
        <f t="shared" si="47"/>
        <v>Quarter2</v>
      </c>
      <c r="C140" s="8" t="s">
        <v>895</v>
      </c>
      <c r="D140" s="8" t="str">
        <f t="shared" si="48"/>
        <v>SXR</v>
      </c>
      <c r="E140" s="8" t="s">
        <v>141</v>
      </c>
      <c r="F140" s="8" t="s">
        <v>622</v>
      </c>
      <c r="G140" s="8" t="s">
        <v>27</v>
      </c>
      <c r="H140" s="8" t="str">
        <f t="shared" si="49"/>
        <v>Approach</v>
      </c>
      <c r="I140" s="8" t="s">
        <v>157</v>
      </c>
      <c r="J140" s="13" t="s">
        <v>1065</v>
      </c>
      <c r="K140" s="13" t="str">
        <f t="shared" si="56"/>
        <v>NADEEM AHMAD | Go around</v>
      </c>
      <c r="L140" s="13" t="str">
        <f t="shared" si="57"/>
        <v>UNNATI PRAMOD KAMLAKAR | Go around</v>
      </c>
      <c r="M140" s="13" t="str">
        <f t="shared" si="58"/>
        <v>SXR | Go around</v>
      </c>
      <c r="N140" s="8" t="str">
        <f t="shared" si="50"/>
        <v/>
      </c>
      <c r="O140" s="8" t="str">
        <f t="shared" si="51"/>
        <v/>
      </c>
      <c r="P140" s="8" t="str">
        <f t="shared" si="52"/>
        <v/>
      </c>
      <c r="Q140" s="8" t="str">
        <f t="shared" si="59"/>
        <v/>
      </c>
      <c r="R140" s="8" t="str">
        <f t="shared" si="53"/>
        <v/>
      </c>
      <c r="S140" s="8">
        <f t="shared" si="54"/>
        <v>694</v>
      </c>
      <c r="T140" s="8" t="str">
        <f t="shared" si="55"/>
        <v>Red</v>
      </c>
    </row>
    <row r="141" spans="1:20" ht="16" x14ac:dyDescent="0.2">
      <c r="A141" s="12">
        <v>45768</v>
      </c>
      <c r="B141" s="8" t="str">
        <f t="shared" si="47"/>
        <v>Quarter2</v>
      </c>
      <c r="C141" s="13" t="s">
        <v>111</v>
      </c>
      <c r="D141" s="8" t="str">
        <f t="shared" si="48"/>
        <v>SXR</v>
      </c>
      <c r="E141" s="13" t="s">
        <v>650</v>
      </c>
      <c r="F141" s="13" t="s">
        <v>170</v>
      </c>
      <c r="G141" s="13" t="s">
        <v>27</v>
      </c>
      <c r="H141" s="8" t="str">
        <f t="shared" si="49"/>
        <v>Approach</v>
      </c>
      <c r="I141" s="8" t="s">
        <v>157</v>
      </c>
      <c r="J141" s="13" t="s">
        <v>1070</v>
      </c>
      <c r="K141" s="13" t="str">
        <f t="shared" si="56"/>
        <v>MOHIT BHARDWAJ | Go around</v>
      </c>
      <c r="L141" s="13" t="str">
        <f t="shared" si="57"/>
        <v>SANJANA SANJAY AMRITE | Go around</v>
      </c>
      <c r="M141" s="13" t="str">
        <f t="shared" si="58"/>
        <v>SXR | Go around</v>
      </c>
      <c r="N141" s="8" t="str">
        <f t="shared" si="50"/>
        <v/>
      </c>
      <c r="O141" s="8" t="str">
        <f t="shared" si="51"/>
        <v/>
      </c>
      <c r="P141" s="8" t="str">
        <f t="shared" si="52"/>
        <v/>
      </c>
      <c r="Q141" s="8" t="str">
        <f t="shared" si="59"/>
        <v/>
      </c>
      <c r="R141" s="8" t="str">
        <f t="shared" si="53"/>
        <v/>
      </c>
      <c r="S141" s="8">
        <f t="shared" si="54"/>
        <v>958</v>
      </c>
      <c r="T141" s="8" t="str">
        <f t="shared" si="55"/>
        <v>Red</v>
      </c>
    </row>
    <row r="142" spans="1:20" ht="32" x14ac:dyDescent="0.2">
      <c r="A142" s="12">
        <v>45770</v>
      </c>
      <c r="B142" s="8" t="str">
        <f t="shared" si="47"/>
        <v>Quarter2</v>
      </c>
      <c r="C142" s="13" t="s">
        <v>311</v>
      </c>
      <c r="D142" s="8" t="str">
        <f t="shared" si="48"/>
        <v>IXL</v>
      </c>
      <c r="E142" s="13" t="s">
        <v>703</v>
      </c>
      <c r="F142" s="13" t="s">
        <v>335</v>
      </c>
      <c r="G142" s="13" t="s">
        <v>136</v>
      </c>
      <c r="H142" s="8" t="str">
        <f t="shared" si="49"/>
        <v>Approach</v>
      </c>
      <c r="I142" s="8" t="s">
        <v>115</v>
      </c>
      <c r="J142" s="13" t="s">
        <v>1077</v>
      </c>
      <c r="K142" s="13" t="str">
        <f t="shared" si="56"/>
        <v>DHRUV MITAL | Approach Speed High (&lt;50 ft)</v>
      </c>
      <c r="L142" s="13" t="str">
        <f t="shared" si="57"/>
        <v>PRITAM HINDUJA | Approach Speed High (&lt;50 ft)</v>
      </c>
      <c r="M142" s="13" t="str">
        <f t="shared" si="58"/>
        <v>IXL | Approach Speed High (&lt;50 ft)</v>
      </c>
      <c r="N142" s="8">
        <f t="shared" si="50"/>
        <v>4</v>
      </c>
      <c r="O142" s="8" t="str">
        <f t="shared" si="51"/>
        <v/>
      </c>
      <c r="P142" s="8">
        <f t="shared" si="52"/>
        <v>19</v>
      </c>
      <c r="Q142" s="8" t="str">
        <f t="shared" si="59"/>
        <v/>
      </c>
      <c r="R142" s="8" t="str">
        <f t="shared" si="53"/>
        <v/>
      </c>
      <c r="S142" s="8" t="str">
        <f t="shared" si="54"/>
        <v/>
      </c>
      <c r="T142" s="8" t="str">
        <f t="shared" si="55"/>
        <v>Red</v>
      </c>
    </row>
    <row r="143" spans="1:20" ht="32" x14ac:dyDescent="0.2">
      <c r="A143" s="12">
        <v>45770</v>
      </c>
      <c r="B143" s="8" t="str">
        <f t="shared" si="47"/>
        <v>Quarter2</v>
      </c>
      <c r="C143" s="13" t="s">
        <v>311</v>
      </c>
      <c r="D143" s="8" t="str">
        <f t="shared" si="48"/>
        <v>IXL</v>
      </c>
      <c r="E143" s="13" t="s">
        <v>703</v>
      </c>
      <c r="F143" s="13" t="s">
        <v>335</v>
      </c>
      <c r="G143" s="13" t="s">
        <v>529</v>
      </c>
      <c r="H143" s="8" t="str">
        <f t="shared" si="49"/>
        <v>Approach</v>
      </c>
      <c r="I143" s="8" t="s">
        <v>115</v>
      </c>
      <c r="J143" s="13" t="s">
        <v>1078</v>
      </c>
      <c r="K143" s="13" t="str">
        <f t="shared" si="56"/>
        <v>DHRUV MITAL | Approach Speed High (500-50 ft)</v>
      </c>
      <c r="L143" s="13" t="str">
        <f t="shared" si="57"/>
        <v>PRITAM HINDUJA | Approach Speed High (500-50 ft)</v>
      </c>
      <c r="M143" s="13" t="str">
        <f t="shared" si="58"/>
        <v>IXL | Approach Speed High (500-50 ft)</v>
      </c>
      <c r="N143" s="8">
        <f t="shared" si="50"/>
        <v>7</v>
      </c>
      <c r="O143" s="8" t="str">
        <f t="shared" si="51"/>
        <v/>
      </c>
      <c r="P143" s="8">
        <f t="shared" si="52"/>
        <v>404</v>
      </c>
      <c r="Q143" s="8">
        <f t="shared" si="59"/>
        <v>162</v>
      </c>
      <c r="R143" s="8" t="str">
        <f t="shared" si="53"/>
        <v/>
      </c>
      <c r="S143" s="8" t="str">
        <f t="shared" si="54"/>
        <v/>
      </c>
      <c r="T143" s="8" t="str">
        <f t="shared" si="55"/>
        <v>Red</v>
      </c>
    </row>
    <row r="144" spans="1:20" ht="32" x14ac:dyDescent="0.2">
      <c r="A144" s="12">
        <v>45770</v>
      </c>
      <c r="B144" s="8" t="str">
        <f t="shared" si="47"/>
        <v>Quarter2</v>
      </c>
      <c r="C144" s="13" t="s">
        <v>268</v>
      </c>
      <c r="D144" s="8" t="str">
        <f t="shared" si="48"/>
        <v>DXB</v>
      </c>
      <c r="E144" s="13" t="s">
        <v>342</v>
      </c>
      <c r="F144" s="13" t="s">
        <v>301</v>
      </c>
      <c r="G144" s="13" t="s">
        <v>1079</v>
      </c>
      <c r="H144" s="8" t="str">
        <f t="shared" si="49"/>
        <v>Taxi</v>
      </c>
      <c r="I144" s="8" t="s">
        <v>115</v>
      </c>
      <c r="J144" s="13" t="s">
        <v>1081</v>
      </c>
      <c r="K144" s="13" t="str">
        <f t="shared" si="56"/>
        <v>TANMAY GANESH KELUSKAR | High Taxi Speed (Runway Backtrack)</v>
      </c>
      <c r="L144" s="13" t="str">
        <f t="shared" si="57"/>
        <v>SAHIL SHARMA | High Taxi Speed (Runway Backtrack)</v>
      </c>
      <c r="M144" s="13" t="str">
        <f t="shared" si="58"/>
        <v>DXB | High Taxi Speed (Runway Backtrack)</v>
      </c>
      <c r="N144" s="8" t="str">
        <f t="shared" si="50"/>
        <v/>
      </c>
      <c r="O144" s="8" t="str">
        <f t="shared" si="51"/>
        <v/>
      </c>
      <c r="P144" s="8" t="str">
        <f t="shared" si="52"/>
        <v/>
      </c>
      <c r="Q144" s="8" t="str">
        <f t="shared" si="59"/>
        <v/>
      </c>
      <c r="R144" s="8" t="str">
        <f t="shared" si="53"/>
        <v/>
      </c>
      <c r="S144" s="8" t="str">
        <f t="shared" si="54"/>
        <v/>
      </c>
      <c r="T144" s="8" t="str">
        <f t="shared" si="55"/>
        <v>Red</v>
      </c>
    </row>
    <row r="145" spans="1:20" ht="32" x14ac:dyDescent="0.2">
      <c r="A145" s="12">
        <v>45770</v>
      </c>
      <c r="B145" s="8" t="str">
        <f t="shared" si="47"/>
        <v>Quarter2</v>
      </c>
      <c r="C145" s="13" t="s">
        <v>299</v>
      </c>
      <c r="D145" s="8" t="str">
        <f t="shared" si="48"/>
        <v>SXR</v>
      </c>
      <c r="E145" s="13" t="s">
        <v>1083</v>
      </c>
      <c r="F145" s="13" t="s">
        <v>365</v>
      </c>
      <c r="G145" s="13" t="s">
        <v>1084</v>
      </c>
      <c r="H145" s="8" t="str">
        <f t="shared" si="49"/>
        <v>Climb</v>
      </c>
      <c r="I145" s="8" t="s">
        <v>115</v>
      </c>
      <c r="J145" s="13" t="s">
        <v>1088</v>
      </c>
      <c r="K145" s="13" t="str">
        <f t="shared" si="56"/>
        <v>RAJIV KUMAR MENDIRATTA | Climb Out Speed Low (35 ft - 400 ft)</v>
      </c>
      <c r="L145" s="13" t="str">
        <f t="shared" si="57"/>
        <v>SIDDHARTHA MOHAN | Climb Out Speed Low (35 ft - 400 ft)</v>
      </c>
      <c r="M145" s="13" t="str">
        <f t="shared" si="58"/>
        <v>SXR | Climb Out Speed Low (35 ft - 400 ft)</v>
      </c>
      <c r="N145" s="8">
        <f t="shared" si="50"/>
        <v>9</v>
      </c>
      <c r="O145" s="8" t="str">
        <f t="shared" si="51"/>
        <v/>
      </c>
      <c r="P145" s="8" t="str">
        <f t="shared" si="52"/>
        <v/>
      </c>
      <c r="Q145" s="8" t="str">
        <f t="shared" si="59"/>
        <v/>
      </c>
      <c r="R145" s="8" t="str">
        <f t="shared" si="53"/>
        <v/>
      </c>
      <c r="S145" s="8" t="str">
        <f t="shared" si="54"/>
        <v/>
      </c>
      <c r="T145" s="8" t="str">
        <f t="shared" si="55"/>
        <v>Red</v>
      </c>
    </row>
    <row r="146" spans="1:20" ht="16" x14ac:dyDescent="0.2">
      <c r="A146" s="12">
        <v>45770</v>
      </c>
      <c r="B146" s="8" t="str">
        <f t="shared" si="47"/>
        <v>Quarter2</v>
      </c>
      <c r="C146" s="13" t="s">
        <v>258</v>
      </c>
      <c r="D146" s="8" t="str">
        <f t="shared" si="48"/>
        <v>BLR</v>
      </c>
      <c r="E146" s="13" t="s">
        <v>823</v>
      </c>
      <c r="F146" s="13" t="s">
        <v>419</v>
      </c>
      <c r="G146" s="8" t="s">
        <v>778</v>
      </c>
      <c r="H146" s="8" t="str">
        <f t="shared" si="49"/>
        <v>Approach</v>
      </c>
      <c r="I146" s="8" t="s">
        <v>115</v>
      </c>
      <c r="J146" s="13" t="s">
        <v>1091</v>
      </c>
      <c r="K146" s="13" t="str">
        <f t="shared" si="56"/>
        <v>ANEESH ATOORI | MAX EGT/ITT (Continuous) #2</v>
      </c>
      <c r="L146" s="13" t="str">
        <f t="shared" si="57"/>
        <v>NIKHIL NARENDRA KOTHARI | MAX EGT/ITT (Continuous) #2</v>
      </c>
      <c r="M146" s="13" t="str">
        <f t="shared" si="58"/>
        <v>BLR | MAX EGT/ITT (Continuous) #2</v>
      </c>
      <c r="N146" s="8">
        <f t="shared" si="50"/>
        <v>31</v>
      </c>
      <c r="O146" s="8" t="str">
        <f t="shared" si="51"/>
        <v/>
      </c>
      <c r="P146" s="8" t="str">
        <f t="shared" si="52"/>
        <v/>
      </c>
      <c r="Q146" s="8" t="str">
        <f t="shared" si="59"/>
        <v/>
      </c>
      <c r="R146" s="8" t="str">
        <f t="shared" si="53"/>
        <v/>
      </c>
      <c r="S146" s="8" t="str">
        <f t="shared" si="54"/>
        <v/>
      </c>
      <c r="T146" s="8" t="str">
        <f t="shared" si="55"/>
        <v>Red</v>
      </c>
    </row>
    <row r="147" spans="1:20" ht="16" x14ac:dyDescent="0.2">
      <c r="A147" s="12">
        <v>45772</v>
      </c>
      <c r="B147" s="8" t="str">
        <f t="shared" si="47"/>
        <v>Quarter2</v>
      </c>
      <c r="C147" s="13" t="s">
        <v>299</v>
      </c>
      <c r="D147" s="8" t="str">
        <f t="shared" si="48"/>
        <v>DEL</v>
      </c>
      <c r="E147" s="13" t="s">
        <v>829</v>
      </c>
      <c r="F147" s="13" t="s">
        <v>830</v>
      </c>
      <c r="G147" s="8" t="s">
        <v>778</v>
      </c>
      <c r="H147" s="8" t="str">
        <f t="shared" si="49"/>
        <v>Approach</v>
      </c>
      <c r="I147" s="13" t="s">
        <v>115</v>
      </c>
      <c r="J147" s="13" t="s">
        <v>1093</v>
      </c>
      <c r="K147" s="13" t="str">
        <f t="shared" si="56"/>
        <v>PUNEET SHARMA | MAX EGT/ITT (Continuous) #2</v>
      </c>
      <c r="L147" s="13" t="str">
        <f t="shared" si="57"/>
        <v>ROHIT YENU TARI | MAX EGT/ITT (Continuous) #2</v>
      </c>
      <c r="M147" s="13" t="str">
        <f t="shared" si="58"/>
        <v>DEL | MAX EGT/ITT (Continuous) #2</v>
      </c>
      <c r="N147" s="8">
        <f t="shared" si="50"/>
        <v>23</v>
      </c>
      <c r="O147" s="8" t="str">
        <f t="shared" si="51"/>
        <v/>
      </c>
      <c r="P147" s="8" t="str">
        <f t="shared" si="52"/>
        <v/>
      </c>
      <c r="Q147" s="8" t="str">
        <f t="shared" si="59"/>
        <v/>
      </c>
      <c r="R147" s="8" t="str">
        <f t="shared" si="53"/>
        <v/>
      </c>
      <c r="S147" s="8" t="str">
        <f t="shared" si="54"/>
        <v/>
      </c>
      <c r="T147" s="8" t="str">
        <f t="shared" si="55"/>
        <v>Red</v>
      </c>
    </row>
    <row r="148" spans="1:20" ht="48" x14ac:dyDescent="0.2">
      <c r="A148" s="14">
        <v>45773</v>
      </c>
      <c r="B148" s="8" t="str">
        <f t="shared" si="47"/>
        <v>Quarter2</v>
      </c>
      <c r="C148" s="8" t="s">
        <v>1054</v>
      </c>
      <c r="D148" s="8" t="str">
        <f t="shared" si="48"/>
        <v>DED</v>
      </c>
      <c r="E148" s="8" t="s">
        <v>194</v>
      </c>
      <c r="F148" s="8" t="s">
        <v>200</v>
      </c>
      <c r="G148" s="8" t="s">
        <v>447</v>
      </c>
      <c r="H148" s="8" t="str">
        <f t="shared" si="49"/>
        <v>Approach</v>
      </c>
      <c r="I148" s="8" t="s">
        <v>115</v>
      </c>
      <c r="J148" s="13" t="s">
        <v>1096</v>
      </c>
      <c r="K148" s="13" t="str">
        <f t="shared" si="56"/>
        <v>MAHENDRA KUVARJI CHHEDA | Flap Placard Speed Exceeded</v>
      </c>
      <c r="L148" s="13" t="str">
        <f t="shared" si="57"/>
        <v>NAMITA SHRIPAL CHAURASIA | Flap Placard Speed Exceeded</v>
      </c>
      <c r="M148" s="13" t="str">
        <f t="shared" si="58"/>
        <v>DED | Flap Placard Speed Exceeded</v>
      </c>
      <c r="N148" s="8" t="str">
        <f t="shared" si="50"/>
        <v/>
      </c>
      <c r="O148" s="8" t="str">
        <f t="shared" si="51"/>
        <v/>
      </c>
      <c r="P148" s="8">
        <f t="shared" si="52"/>
        <v>2220</v>
      </c>
      <c r="Q148" s="8" t="str">
        <f t="shared" si="59"/>
        <v/>
      </c>
      <c r="R148" s="8" t="str">
        <f t="shared" si="53"/>
        <v/>
      </c>
      <c r="S148" s="8" t="str">
        <f t="shared" si="54"/>
        <v/>
      </c>
      <c r="T148" s="8" t="str">
        <f t="shared" si="55"/>
        <v>Red</v>
      </c>
    </row>
    <row r="149" spans="1:20" ht="16" x14ac:dyDescent="0.2">
      <c r="A149" s="15">
        <v>45775</v>
      </c>
      <c r="B149" s="8" t="str">
        <f t="shared" si="47"/>
        <v>Quarter2</v>
      </c>
      <c r="C149" s="16" t="s">
        <v>32</v>
      </c>
      <c r="D149" s="8" t="str">
        <f t="shared" si="48"/>
        <v>DXB</v>
      </c>
      <c r="E149" s="13" t="s">
        <v>46</v>
      </c>
      <c r="F149" s="13" t="s">
        <v>92</v>
      </c>
      <c r="G149" s="8" t="s">
        <v>27</v>
      </c>
      <c r="H149" s="8" t="str">
        <f t="shared" si="49"/>
        <v>Approach</v>
      </c>
      <c r="I149" s="8" t="s">
        <v>157</v>
      </c>
      <c r="J149" s="8" t="s">
        <v>1118</v>
      </c>
      <c r="K149" s="13" t="str">
        <f t="shared" si="56"/>
        <v>SANJEEV KUMAR | Go around</v>
      </c>
      <c r="L149" s="13" t="str">
        <f t="shared" si="57"/>
        <v>NAMIT DANG | Go around</v>
      </c>
      <c r="M149" s="13" t="str">
        <f t="shared" si="58"/>
        <v>DXB | Go around</v>
      </c>
      <c r="N149" s="8" t="str">
        <f t="shared" si="50"/>
        <v/>
      </c>
      <c r="O149" s="8" t="str">
        <f t="shared" si="51"/>
        <v/>
      </c>
      <c r="P149" s="8" t="str">
        <f t="shared" si="52"/>
        <v/>
      </c>
      <c r="Q149" s="8" t="str">
        <f t="shared" si="59"/>
        <v/>
      </c>
      <c r="R149" s="8" t="str">
        <f t="shared" si="53"/>
        <v/>
      </c>
      <c r="S149" s="8">
        <f t="shared" si="54"/>
        <v>2060</v>
      </c>
      <c r="T149" s="8" t="str">
        <f t="shared" si="55"/>
        <v>Red</v>
      </c>
    </row>
    <row r="150" spans="1:20" ht="16" x14ac:dyDescent="0.2">
      <c r="A150" s="43">
        <v>45775</v>
      </c>
      <c r="B150" s="8" t="str">
        <f t="shared" si="47"/>
        <v>Quarter2</v>
      </c>
      <c r="C150" s="44" t="s">
        <v>111</v>
      </c>
      <c r="D150" s="8" t="str">
        <f t="shared" si="48"/>
        <v>SXR</v>
      </c>
      <c r="E150" s="44" t="s">
        <v>684</v>
      </c>
      <c r="F150" s="44" t="s">
        <v>812</v>
      </c>
      <c r="G150" s="44" t="s">
        <v>27</v>
      </c>
      <c r="H150" s="8" t="str">
        <f t="shared" si="49"/>
        <v>Approach</v>
      </c>
      <c r="I150" s="13" t="s">
        <v>157</v>
      </c>
      <c r="J150" s="8" t="s">
        <v>1124</v>
      </c>
      <c r="K150" s="13" t="str">
        <f t="shared" si="56"/>
        <v>DIVYANSHU CHATURVEDI | Go around</v>
      </c>
      <c r="L150" s="13" t="str">
        <f t="shared" si="57"/>
        <v>SHIVOM SINGH | Go around</v>
      </c>
      <c r="M150" s="13" t="str">
        <f t="shared" si="58"/>
        <v>SXR | Go around</v>
      </c>
      <c r="N150" s="8" t="str">
        <f t="shared" si="50"/>
        <v/>
      </c>
      <c r="O150" s="8" t="str">
        <f t="shared" si="51"/>
        <v/>
      </c>
      <c r="P150" s="8" t="str">
        <f t="shared" si="52"/>
        <v/>
      </c>
      <c r="Q150" s="8" t="str">
        <f t="shared" si="59"/>
        <v/>
      </c>
      <c r="R150" s="8" t="str">
        <f t="shared" si="53"/>
        <v/>
      </c>
      <c r="S150" s="8">
        <f t="shared" si="54"/>
        <v>824</v>
      </c>
      <c r="T150" s="8" t="str">
        <f t="shared" si="55"/>
        <v>Red</v>
      </c>
    </row>
    <row r="151" spans="1:20" ht="16" x14ac:dyDescent="0.2">
      <c r="A151" s="43">
        <v>45776</v>
      </c>
      <c r="B151" s="8" t="str">
        <f t="shared" si="47"/>
        <v>Quarter2</v>
      </c>
      <c r="C151" s="44" t="s">
        <v>465</v>
      </c>
      <c r="D151" s="8" t="str">
        <f t="shared" si="48"/>
        <v>DEL</v>
      </c>
      <c r="E151" s="44" t="s">
        <v>448</v>
      </c>
      <c r="F151" s="44" t="s">
        <v>241</v>
      </c>
      <c r="G151" s="44" t="s">
        <v>27</v>
      </c>
      <c r="H151" s="8" t="str">
        <f t="shared" si="49"/>
        <v>Approach</v>
      </c>
      <c r="I151" s="13" t="s">
        <v>157</v>
      </c>
      <c r="J151" s="8" t="s">
        <v>1125</v>
      </c>
      <c r="K151" s="13" t="str">
        <f t="shared" si="56"/>
        <v>AMAN  JAIN | Go around</v>
      </c>
      <c r="L151" s="13" t="str">
        <f t="shared" si="57"/>
        <v>ANIL ARORA | Go around</v>
      </c>
      <c r="M151" s="13" t="str">
        <f t="shared" si="58"/>
        <v>DEL | Go around</v>
      </c>
      <c r="N151" s="8" t="str">
        <f t="shared" si="50"/>
        <v/>
      </c>
      <c r="O151" s="8" t="str">
        <f t="shared" si="51"/>
        <v/>
      </c>
      <c r="P151" s="8" t="str">
        <f t="shared" si="52"/>
        <v/>
      </c>
      <c r="Q151" s="8" t="str">
        <f t="shared" si="59"/>
        <v/>
      </c>
      <c r="R151" s="8" t="str">
        <f t="shared" si="53"/>
        <v/>
      </c>
      <c r="S151" s="8">
        <f t="shared" si="54"/>
        <v>44</v>
      </c>
      <c r="T151" s="8" t="str">
        <f t="shared" si="55"/>
        <v>Red</v>
      </c>
    </row>
    <row r="152" spans="1:20" ht="32" x14ac:dyDescent="0.2">
      <c r="A152" s="43">
        <v>45776</v>
      </c>
      <c r="B152" s="8" t="str">
        <f t="shared" si="47"/>
        <v>Quarter2</v>
      </c>
      <c r="C152" s="44" t="s">
        <v>1032</v>
      </c>
      <c r="D152" s="8" t="str">
        <f t="shared" si="48"/>
        <v>IXJ</v>
      </c>
      <c r="E152" s="32" t="s">
        <v>166</v>
      </c>
      <c r="F152" s="32" t="s">
        <v>77</v>
      </c>
      <c r="G152" s="44" t="s">
        <v>58</v>
      </c>
      <c r="H152" s="8" t="str">
        <f t="shared" si="49"/>
        <v>Approach</v>
      </c>
      <c r="I152" s="8" t="s">
        <v>115</v>
      </c>
      <c r="J152" s="13" t="s">
        <v>1128</v>
      </c>
      <c r="K152" s="13" t="str">
        <f t="shared" si="56"/>
        <v>SUDHIR SHARMA | Late Landing Flap</v>
      </c>
      <c r="L152" s="13" t="str">
        <f t="shared" si="57"/>
        <v>NANCY NAYYAR | Late Landing Flap</v>
      </c>
      <c r="M152" s="13" t="str">
        <f t="shared" si="58"/>
        <v>IXJ | Late Landing Flap</v>
      </c>
      <c r="N152" s="8" t="str">
        <f t="shared" si="50"/>
        <v/>
      </c>
      <c r="O152" s="8" t="str">
        <f t="shared" si="51"/>
        <v/>
      </c>
      <c r="P152" s="8" t="str">
        <f t="shared" si="52"/>
        <v/>
      </c>
      <c r="Q152" s="8" t="str">
        <f t="shared" si="59"/>
        <v/>
      </c>
      <c r="R152" s="8" t="str">
        <f t="shared" si="53"/>
        <v/>
      </c>
      <c r="S152" s="8" t="str">
        <f t="shared" si="54"/>
        <v/>
      </c>
      <c r="T152" s="8" t="str">
        <f t="shared" si="55"/>
        <v>Red</v>
      </c>
    </row>
    <row r="153" spans="1:20" ht="32" x14ac:dyDescent="0.2">
      <c r="A153" s="14">
        <v>45776</v>
      </c>
      <c r="B153" s="8" t="str">
        <f t="shared" si="47"/>
        <v>Quarter2</v>
      </c>
      <c r="C153" s="8" t="s">
        <v>45</v>
      </c>
      <c r="D153" s="8" t="str">
        <f t="shared" si="48"/>
        <v>DXB</v>
      </c>
      <c r="E153" s="13" t="s">
        <v>646</v>
      </c>
      <c r="F153" s="13" t="s">
        <v>499</v>
      </c>
      <c r="G153" s="8" t="s">
        <v>261</v>
      </c>
      <c r="H153" s="8" t="str">
        <f t="shared" si="49"/>
        <v>Taxi</v>
      </c>
      <c r="I153" s="8" t="s">
        <v>115</v>
      </c>
      <c r="J153" s="13" t="s">
        <v>1130</v>
      </c>
      <c r="K153" s="13" t="str">
        <f t="shared" si="56"/>
        <v>NITIN DEV SAVLODIA | High Taxi Speed (Straight)</v>
      </c>
      <c r="L153" s="13" t="str">
        <f t="shared" si="57"/>
        <v>NIKHIL CHAWLA | High Taxi Speed (Straight)</v>
      </c>
      <c r="M153" s="13" t="str">
        <f t="shared" si="58"/>
        <v>DXB | High Taxi Speed (Straight)</v>
      </c>
      <c r="N153" s="8">
        <f t="shared" si="50"/>
        <v>5</v>
      </c>
      <c r="O153" s="8" t="str">
        <f t="shared" si="51"/>
        <v/>
      </c>
      <c r="P153" s="8" t="str">
        <f t="shared" si="52"/>
        <v/>
      </c>
      <c r="Q153" s="8" t="str">
        <f t="shared" si="59"/>
        <v/>
      </c>
      <c r="R153" s="8" t="str">
        <f t="shared" si="53"/>
        <v/>
      </c>
      <c r="S153" s="8" t="str">
        <f t="shared" si="54"/>
        <v/>
      </c>
      <c r="T153" s="8" t="str">
        <f t="shared" si="55"/>
        <v>Red</v>
      </c>
    </row>
    <row r="154" spans="1:20" ht="32" x14ac:dyDescent="0.2">
      <c r="A154" s="14">
        <v>45777</v>
      </c>
      <c r="B154" s="8" t="str">
        <f t="shared" ref="B154:B188" si="60">"Quarter" &amp; INT((MONTH(A154)-1)/3)+1</f>
        <v>Quarter2</v>
      </c>
      <c r="C154" s="8" t="s">
        <v>165</v>
      </c>
      <c r="D154" s="8" t="str">
        <f t="shared" ref="D154:D188" si="61">IF(OR(
    ISNUMBER(SEARCH("Taxi", G154)),
    ISNUMBER(SEARCH("Take-off", G154)),
    ISNUMBER(SEARCH("Climb", G154))
),
    LEFT(C154, FIND("-", C154)-1),
    RIGHT(C154, LEN(C154) - FIND("-", C154))
)</f>
        <v>PAT</v>
      </c>
      <c r="E154" s="8" t="s">
        <v>222</v>
      </c>
      <c r="F154" s="8" t="s">
        <v>679</v>
      </c>
      <c r="G154" s="8" t="s">
        <v>53</v>
      </c>
      <c r="H154" s="8" t="str">
        <f t="shared" ref="H154:H188" si="62">IF(OR(ISNUMBER(SEARCH("Taxi", G154))), "Taxi",
 IF(OR(ISNUMBER(SEARCH("Take-off", G154)), ISNUMBER(SEARCH("Climb", G154)), ISNUMBER(SEARCH("Gear Retraction", G154)), ISNUMBER(SEARCH("Config Change", G154))), "Climb",
 IF(ISNUMBER(SEARCH("Cruise", G154)), "Cruise",
 "Approach")))</f>
        <v>Approach</v>
      </c>
      <c r="I154" s="8" t="s">
        <v>115</v>
      </c>
      <c r="J154" s="48" t="s">
        <v>1137</v>
      </c>
      <c r="K154" s="13" t="str">
        <f t="shared" si="56"/>
        <v>RASHMI SHARMA | Low Rate of Descent (&lt;1000 ft)</v>
      </c>
      <c r="L154" s="13" t="str">
        <f t="shared" si="57"/>
        <v>DIVYANG BAJPAI | Low Rate of Descent (&lt;1000 ft)</v>
      </c>
      <c r="M154" s="13" t="str">
        <f t="shared" si="58"/>
        <v>PAT | Low Rate of Descent (&lt;1000 ft)</v>
      </c>
      <c r="N154" s="8">
        <f t="shared" ref="N154:N188" si="63">IFERROR(VALUE(MID(J154,FIND("for ",J154)+4,FIND(" sec",J154)-FIND("for ",J154)-4)),"")</f>
        <v>16</v>
      </c>
      <c r="O154" s="8" t="str">
        <f t="shared" ref="O154:O188" si="64">IFERROR(VALUE(MID(J154,FIND("Max Deviation ",J154)+14,FIND(" at",J154)-FIND("Max Deviation ",J154)-14)),"")</f>
        <v/>
      </c>
      <c r="P154" s="8" t="str">
        <f t="shared" ref="P154:P188" si="65">IFERROR(VALUE(MID(J154,FIND("Altitude:",J154)+9,FIND(" ft",J154)-FIND("Altitude:",J154)-9)),"")</f>
        <v/>
      </c>
      <c r="Q154" s="8" t="str">
        <f t="shared" si="59"/>
        <v/>
      </c>
      <c r="R154" s="8" t="str">
        <f t="shared" ref="R154:R188" si="66">IFERROR(VALUE(MID(J154,FIND("Max ROD:",J154)+8,FIND(" fpm",J154)-FIND("Max ROD:",J154)-8)),"")</f>
        <v/>
      </c>
      <c r="S154" s="8" t="str">
        <f t="shared" ref="S154:S188" si="67">IFERROR(VALUE(MID(J154,FIND("At ",J154)+3,FIND(" ft",J154)-FIND("At ",J154)-3)),"")</f>
        <v/>
      </c>
      <c r="T154" s="8" t="str">
        <f t="shared" ref="T154:T188" si="68">IF(I154="Information","Amber","Red")</f>
        <v>Red</v>
      </c>
    </row>
    <row r="155" spans="1:20" ht="16" x14ac:dyDescent="0.2">
      <c r="A155" s="14">
        <v>45777</v>
      </c>
      <c r="B155" s="8" t="str">
        <f t="shared" si="60"/>
        <v>Quarter2</v>
      </c>
      <c r="C155" s="8" t="s">
        <v>234</v>
      </c>
      <c r="D155" s="8" t="str">
        <f t="shared" si="61"/>
        <v>BKK</v>
      </c>
      <c r="E155" s="8" t="s">
        <v>647</v>
      </c>
      <c r="F155" s="8" t="s">
        <v>225</v>
      </c>
      <c r="G155" s="8" t="s">
        <v>27</v>
      </c>
      <c r="H155" s="8" t="str">
        <f t="shared" si="62"/>
        <v>Approach</v>
      </c>
      <c r="I155" s="13" t="s">
        <v>157</v>
      </c>
      <c r="J155" s="13" t="s">
        <v>1141</v>
      </c>
      <c r="K155" s="13" t="str">
        <f t="shared" si="56"/>
        <v>VARUN GUPTA | Go around</v>
      </c>
      <c r="L155" s="13" t="str">
        <f t="shared" si="57"/>
        <v>VIKRAM  SINGH | Go around</v>
      </c>
      <c r="M155" s="13" t="str">
        <f t="shared" si="58"/>
        <v>BKK | Go around</v>
      </c>
      <c r="N155" s="8" t="str">
        <f t="shared" si="63"/>
        <v/>
      </c>
      <c r="O155" s="8" t="str">
        <f t="shared" si="64"/>
        <v/>
      </c>
      <c r="P155" s="8" t="str">
        <f t="shared" si="65"/>
        <v/>
      </c>
      <c r="Q155" s="8" t="str">
        <f t="shared" si="59"/>
        <v/>
      </c>
      <c r="R155" s="8" t="str">
        <f t="shared" si="66"/>
        <v/>
      </c>
      <c r="S155" s="8">
        <f t="shared" si="67"/>
        <v>414</v>
      </c>
      <c r="T155" s="8" t="str">
        <f t="shared" si="68"/>
        <v>Red</v>
      </c>
    </row>
    <row r="156" spans="1:20" ht="32" x14ac:dyDescent="0.2">
      <c r="A156" s="14">
        <v>45778</v>
      </c>
      <c r="B156" s="8" t="str">
        <f t="shared" si="60"/>
        <v>Quarter2</v>
      </c>
      <c r="C156" s="8" t="s">
        <v>1142</v>
      </c>
      <c r="D156" s="8" t="str">
        <f t="shared" si="61"/>
        <v>JAI</v>
      </c>
      <c r="E156" s="8" t="s">
        <v>46</v>
      </c>
      <c r="F156" s="8" t="s">
        <v>343</v>
      </c>
      <c r="G156" s="8" t="s">
        <v>529</v>
      </c>
      <c r="H156" s="8" t="str">
        <f t="shared" si="62"/>
        <v>Approach</v>
      </c>
      <c r="I156" s="8" t="s">
        <v>115</v>
      </c>
      <c r="J156" s="13" t="s">
        <v>1145</v>
      </c>
      <c r="K156" s="13" t="str">
        <f t="shared" si="56"/>
        <v>SANJEEV KUMAR | Approach Speed High (500-50 ft)</v>
      </c>
      <c r="L156" s="13" t="str">
        <f t="shared" si="57"/>
        <v>YUNUSAHMED MUHAMMADFARUK KHARADI | Approach Speed High (500-50 ft)</v>
      </c>
      <c r="M156" s="13" t="str">
        <f t="shared" si="58"/>
        <v>JAI | Approach Speed High (500-50 ft)</v>
      </c>
      <c r="N156" s="8">
        <f t="shared" si="63"/>
        <v>5</v>
      </c>
      <c r="O156" s="8" t="str">
        <f t="shared" si="64"/>
        <v/>
      </c>
      <c r="P156" s="8">
        <f t="shared" si="65"/>
        <v>248</v>
      </c>
      <c r="Q156" s="8">
        <f t="shared" si="59"/>
        <v>169.8</v>
      </c>
      <c r="R156" s="8" t="str">
        <f t="shared" si="66"/>
        <v/>
      </c>
      <c r="S156" s="8" t="str">
        <f t="shared" si="67"/>
        <v/>
      </c>
      <c r="T156" s="8" t="str">
        <f t="shared" si="68"/>
        <v>Red</v>
      </c>
    </row>
    <row r="157" spans="1:20" ht="32" x14ac:dyDescent="0.2">
      <c r="A157" s="50">
        <v>45779</v>
      </c>
      <c r="B157" s="8" t="str">
        <f t="shared" si="60"/>
        <v>Quarter2</v>
      </c>
      <c r="C157" s="49" t="s">
        <v>1149</v>
      </c>
      <c r="D157" s="8" t="str">
        <f t="shared" si="61"/>
        <v>BOM</v>
      </c>
      <c r="E157" s="49" t="s">
        <v>1150</v>
      </c>
      <c r="F157" s="49" t="s">
        <v>926</v>
      </c>
      <c r="G157" s="49" t="s">
        <v>1151</v>
      </c>
      <c r="H157" s="8" t="str">
        <f t="shared" si="62"/>
        <v>Approach</v>
      </c>
      <c r="I157" s="49" t="s">
        <v>431</v>
      </c>
      <c r="J157" s="53" t="s">
        <v>1152</v>
      </c>
      <c r="K157" s="13" t="str">
        <f t="shared" si="56"/>
        <v>JAMSHEED MOHAMMED IBRAHIM SYED | Speedbrakes on Approach</v>
      </c>
      <c r="L157" s="13" t="str">
        <f t="shared" si="57"/>
        <v>KARAN PRATAP SINGH VIRK | Speedbrakes on Approach</v>
      </c>
      <c r="M157" s="13" t="str">
        <f t="shared" si="58"/>
        <v>BOM | Speedbrakes on Approach</v>
      </c>
      <c r="N157" s="8" t="str">
        <f t="shared" si="63"/>
        <v/>
      </c>
      <c r="O157" s="8" t="str">
        <f t="shared" si="64"/>
        <v/>
      </c>
      <c r="P157" s="8" t="str">
        <f t="shared" si="65"/>
        <v/>
      </c>
      <c r="Q157" s="8" t="str">
        <f t="shared" si="59"/>
        <v/>
      </c>
      <c r="R157" s="8" t="str">
        <f t="shared" si="66"/>
        <v/>
      </c>
      <c r="S157" s="8" t="str">
        <f t="shared" si="67"/>
        <v/>
      </c>
      <c r="T157" s="8" t="str">
        <f t="shared" si="68"/>
        <v>Red</v>
      </c>
    </row>
    <row r="158" spans="1:20" ht="32" x14ac:dyDescent="0.2">
      <c r="A158" s="14">
        <v>45781</v>
      </c>
      <c r="B158" s="8" t="str">
        <f t="shared" si="60"/>
        <v>Quarter2</v>
      </c>
      <c r="C158" s="8" t="s">
        <v>1156</v>
      </c>
      <c r="D158" s="8" t="str">
        <f t="shared" si="61"/>
        <v>IXB</v>
      </c>
      <c r="E158" s="8" t="s">
        <v>215</v>
      </c>
      <c r="F158" s="8" t="s">
        <v>896</v>
      </c>
      <c r="G158" s="8" t="s">
        <v>996</v>
      </c>
      <c r="H158" s="8" t="str">
        <f t="shared" si="62"/>
        <v>Approach</v>
      </c>
      <c r="I158" s="8" t="s">
        <v>203</v>
      </c>
      <c r="J158" s="13" t="s">
        <v>1157</v>
      </c>
      <c r="K158" s="13" t="str">
        <f t="shared" si="56"/>
        <v>JATIN CHANDRAKANT MER | Stick Shaker</v>
      </c>
      <c r="L158" s="13" t="str">
        <f t="shared" si="57"/>
        <v>ADITYA SATISH BAKSHI | Stick Shaker</v>
      </c>
      <c r="M158" s="13" t="str">
        <f t="shared" si="58"/>
        <v>IXB | Stick Shaker</v>
      </c>
      <c r="N158" s="8" t="str">
        <f t="shared" si="63"/>
        <v/>
      </c>
      <c r="O158" s="8" t="str">
        <f t="shared" si="64"/>
        <v/>
      </c>
      <c r="P158" s="8">
        <f t="shared" si="65"/>
        <v>36617</v>
      </c>
      <c r="Q158" s="8" t="str">
        <f t="shared" si="59"/>
        <v/>
      </c>
      <c r="R158" s="8" t="str">
        <f t="shared" si="66"/>
        <v/>
      </c>
      <c r="S158" s="8" t="str">
        <f t="shared" si="67"/>
        <v/>
      </c>
      <c r="T158" s="8" t="str">
        <f t="shared" si="68"/>
        <v>Red</v>
      </c>
    </row>
    <row r="159" spans="1:20" ht="32" x14ac:dyDescent="0.2">
      <c r="A159" s="12">
        <v>45783</v>
      </c>
      <c r="B159" s="8" t="str">
        <f t="shared" si="60"/>
        <v>Quarter2</v>
      </c>
      <c r="C159" s="8" t="s">
        <v>1166</v>
      </c>
      <c r="D159" s="8" t="str">
        <f t="shared" si="61"/>
        <v>BOM</v>
      </c>
      <c r="E159" s="13" t="s">
        <v>593</v>
      </c>
      <c r="F159" s="13" t="s">
        <v>445</v>
      </c>
      <c r="G159" s="13" t="s">
        <v>466</v>
      </c>
      <c r="H159" s="8" t="str">
        <f t="shared" si="62"/>
        <v>Approach</v>
      </c>
      <c r="I159" s="8" t="s">
        <v>115</v>
      </c>
      <c r="J159" s="13" t="s">
        <v>1169</v>
      </c>
      <c r="K159" s="13" t="str">
        <f t="shared" si="56"/>
        <v>CHARAN SINGH CHOUDHARY | Approach Speed High (500- 50 ft)</v>
      </c>
      <c r="L159" s="13" t="str">
        <f t="shared" si="57"/>
        <v>SHABNAM GAFOOR KHAN SARGUROH | Approach Speed High (500- 50 ft)</v>
      </c>
      <c r="M159" s="13" t="str">
        <f t="shared" si="58"/>
        <v>BOM | Approach Speed High (500- 50 ft)</v>
      </c>
      <c r="N159" s="8">
        <f t="shared" si="63"/>
        <v>4</v>
      </c>
      <c r="O159" s="8" t="str">
        <f t="shared" si="64"/>
        <v/>
      </c>
      <c r="P159" s="8">
        <f t="shared" si="65"/>
        <v>176</v>
      </c>
      <c r="Q159" s="8">
        <f t="shared" si="59"/>
        <v>150.80000000000001</v>
      </c>
      <c r="R159" s="8" t="str">
        <f t="shared" si="66"/>
        <v/>
      </c>
      <c r="S159" s="8" t="str">
        <f t="shared" si="67"/>
        <v/>
      </c>
      <c r="T159" s="8" t="str">
        <f t="shared" si="68"/>
        <v>Red</v>
      </c>
    </row>
    <row r="160" spans="1:20" ht="32" x14ac:dyDescent="0.2">
      <c r="A160" s="15">
        <v>45784</v>
      </c>
      <c r="B160" s="8" t="str">
        <f t="shared" si="60"/>
        <v>Quarter2</v>
      </c>
      <c r="C160" s="13" t="s">
        <v>1166</v>
      </c>
      <c r="D160" s="8" t="str">
        <f t="shared" si="61"/>
        <v>DBR</v>
      </c>
      <c r="E160" s="13" t="s">
        <v>194</v>
      </c>
      <c r="F160" s="13" t="s">
        <v>1174</v>
      </c>
      <c r="G160" s="13" t="s">
        <v>196</v>
      </c>
      <c r="H160" s="8" t="str">
        <f t="shared" si="62"/>
        <v>Climb</v>
      </c>
      <c r="I160" s="13" t="s">
        <v>115</v>
      </c>
      <c r="J160" s="13" t="s">
        <v>1176</v>
      </c>
      <c r="K160" s="13" t="str">
        <f t="shared" si="56"/>
        <v>MAHENDRA KUVARJI CHHEDA | Pitch Rate High During Take-off (Average)</v>
      </c>
      <c r="L160" s="13" t="str">
        <f t="shared" si="57"/>
        <v>SHIRIN ABDUL HAMEED PASHA | Pitch Rate High During Take-off (Average)</v>
      </c>
      <c r="M160" s="13" t="str">
        <f t="shared" si="58"/>
        <v>DBR | Pitch Rate High During Take-off (Average)</v>
      </c>
      <c r="N160" s="8" t="str">
        <f t="shared" si="63"/>
        <v/>
      </c>
      <c r="O160" s="8" t="str">
        <f t="shared" si="64"/>
        <v/>
      </c>
      <c r="P160" s="8" t="str">
        <f t="shared" si="65"/>
        <v/>
      </c>
      <c r="Q160" s="8" t="str">
        <f t="shared" si="59"/>
        <v/>
      </c>
      <c r="R160" s="8" t="str">
        <f t="shared" si="66"/>
        <v/>
      </c>
      <c r="S160" s="8" t="str">
        <f t="shared" si="67"/>
        <v/>
      </c>
      <c r="T160" s="8" t="str">
        <f t="shared" si="68"/>
        <v>Red</v>
      </c>
    </row>
    <row r="161" spans="1:20" ht="16" x14ac:dyDescent="0.2">
      <c r="A161" s="20">
        <v>45785</v>
      </c>
      <c r="B161" s="8" t="str">
        <f t="shared" si="60"/>
        <v>Quarter2</v>
      </c>
      <c r="C161" s="8" t="s">
        <v>146</v>
      </c>
      <c r="D161" s="8" t="str">
        <f t="shared" si="61"/>
        <v>PNQ</v>
      </c>
      <c r="E161" s="8" t="s">
        <v>674</v>
      </c>
      <c r="F161" s="8" t="s">
        <v>948</v>
      </c>
      <c r="G161" s="8" t="s">
        <v>1178</v>
      </c>
      <c r="H161" s="8" t="str">
        <f t="shared" si="62"/>
        <v>Approach</v>
      </c>
      <c r="I161" s="8" t="s">
        <v>115</v>
      </c>
      <c r="J161" s="13" t="s">
        <v>1180</v>
      </c>
      <c r="K161" s="13" t="str">
        <f t="shared" si="56"/>
        <v>ARIHANT JAIN | MAX EGT/ITT (Continuous)#2</v>
      </c>
      <c r="L161" s="13" t="str">
        <f t="shared" si="57"/>
        <v>AADIL MOHAMMADSHAFI GANDHI | MAX EGT/ITT (Continuous)#2</v>
      </c>
      <c r="M161" s="13" t="str">
        <f t="shared" si="58"/>
        <v>PNQ | MAX EGT/ITT (Continuous)#2</v>
      </c>
      <c r="N161" s="8">
        <f t="shared" si="63"/>
        <v>6</v>
      </c>
      <c r="O161" s="8" t="str">
        <f t="shared" si="64"/>
        <v/>
      </c>
      <c r="P161" s="8" t="str">
        <f t="shared" si="65"/>
        <v/>
      </c>
      <c r="Q161" s="8" t="str">
        <f t="shared" si="59"/>
        <v/>
      </c>
      <c r="R161" s="8" t="str">
        <f t="shared" si="66"/>
        <v/>
      </c>
      <c r="S161" s="8" t="str">
        <f t="shared" si="67"/>
        <v/>
      </c>
      <c r="T161" s="8" t="str">
        <f t="shared" si="68"/>
        <v>Red</v>
      </c>
    </row>
    <row r="162" spans="1:20" ht="16" x14ac:dyDescent="0.2">
      <c r="A162" s="20">
        <v>45786</v>
      </c>
      <c r="B162" s="8" t="str">
        <f t="shared" si="60"/>
        <v>Quarter2</v>
      </c>
      <c r="C162" s="8" t="s">
        <v>315</v>
      </c>
      <c r="D162" s="8" t="str">
        <f t="shared" si="61"/>
        <v>DEL</v>
      </c>
      <c r="E162" s="8" t="s">
        <v>448</v>
      </c>
      <c r="F162" s="8" t="s">
        <v>667</v>
      </c>
      <c r="G162" s="8" t="s">
        <v>27</v>
      </c>
      <c r="H162" s="8" t="str">
        <f t="shared" si="62"/>
        <v>Approach</v>
      </c>
      <c r="I162" s="13" t="s">
        <v>157</v>
      </c>
      <c r="J162" s="8" t="s">
        <v>1181</v>
      </c>
      <c r="K162" s="13" t="str">
        <f t="shared" si="56"/>
        <v>AMAN  JAIN | Go around</v>
      </c>
      <c r="L162" s="13" t="str">
        <f t="shared" si="57"/>
        <v>ARUN VASHIST | Go around</v>
      </c>
      <c r="M162" s="13" t="str">
        <f t="shared" si="58"/>
        <v>DEL | Go around</v>
      </c>
      <c r="N162" s="8" t="str">
        <f t="shared" si="63"/>
        <v/>
      </c>
      <c r="O162" s="8" t="str">
        <f t="shared" si="64"/>
        <v/>
      </c>
      <c r="P162" s="8" t="str">
        <f t="shared" si="65"/>
        <v/>
      </c>
      <c r="Q162" s="8" t="str">
        <f t="shared" si="59"/>
        <v/>
      </c>
      <c r="R162" s="8" t="str">
        <f t="shared" si="66"/>
        <v/>
      </c>
      <c r="S162" s="8">
        <f t="shared" si="67"/>
        <v>379</v>
      </c>
      <c r="T162" s="8" t="str">
        <f t="shared" si="68"/>
        <v>Red</v>
      </c>
    </row>
    <row r="163" spans="1:20" ht="32" x14ac:dyDescent="0.2">
      <c r="A163" s="14">
        <v>45787</v>
      </c>
      <c r="B163" s="8" t="str">
        <f t="shared" si="60"/>
        <v>Quarter2</v>
      </c>
      <c r="C163" s="8" t="s">
        <v>857</v>
      </c>
      <c r="D163" s="8" t="str">
        <f t="shared" si="61"/>
        <v>DEL</v>
      </c>
      <c r="E163" s="8" t="s">
        <v>767</v>
      </c>
      <c r="F163" s="8" t="s">
        <v>148</v>
      </c>
      <c r="G163" s="8" t="s">
        <v>447</v>
      </c>
      <c r="H163" s="8" t="str">
        <f t="shared" si="62"/>
        <v>Approach</v>
      </c>
      <c r="I163" s="8" t="s">
        <v>115</v>
      </c>
      <c r="J163" s="13" t="s">
        <v>1188</v>
      </c>
      <c r="K163" s="13" t="str">
        <f t="shared" si="56"/>
        <v>ASHOKKUMAR GYANCHAND TALREJA | Flap Placard Speed Exceeded</v>
      </c>
      <c r="L163" s="13" t="str">
        <f t="shared" si="57"/>
        <v>ALHAD SUDHIR PHADKE | Flap Placard Speed Exceeded</v>
      </c>
      <c r="M163" s="13" t="str">
        <f t="shared" si="58"/>
        <v>DEL | Flap Placard Speed Exceeded</v>
      </c>
      <c r="N163" s="8">
        <f t="shared" si="63"/>
        <v>1</v>
      </c>
      <c r="O163" s="8" t="str">
        <f t="shared" si="64"/>
        <v/>
      </c>
      <c r="P163" s="8">
        <f t="shared" si="65"/>
        <v>797</v>
      </c>
      <c r="Q163" s="8" t="str">
        <f t="shared" si="59"/>
        <v/>
      </c>
      <c r="R163" s="8" t="str">
        <f t="shared" si="66"/>
        <v/>
      </c>
      <c r="S163" s="8" t="str">
        <f t="shared" si="67"/>
        <v/>
      </c>
      <c r="T163" s="8" t="str">
        <f t="shared" si="68"/>
        <v>Red</v>
      </c>
    </row>
    <row r="164" spans="1:20" ht="16" x14ac:dyDescent="0.2">
      <c r="A164" s="14">
        <v>45787</v>
      </c>
      <c r="B164" s="8" t="str">
        <f t="shared" si="60"/>
        <v>Quarter2</v>
      </c>
      <c r="C164" s="8" t="s">
        <v>1186</v>
      </c>
      <c r="D164" s="8" t="str">
        <f t="shared" si="61"/>
        <v>DEL</v>
      </c>
      <c r="E164" s="8" t="s">
        <v>619</v>
      </c>
      <c r="F164" s="8" t="s">
        <v>665</v>
      </c>
      <c r="G164" s="8" t="s">
        <v>778</v>
      </c>
      <c r="H164" s="8" t="str">
        <f t="shared" si="62"/>
        <v>Approach</v>
      </c>
      <c r="I164" s="8" t="s">
        <v>115</v>
      </c>
      <c r="J164" s="13" t="s">
        <v>1189</v>
      </c>
      <c r="K164" s="13" t="str">
        <f t="shared" si="56"/>
        <v>MANAS CHATTERJEE | MAX EGT/ITT (Continuous) #2</v>
      </c>
      <c r="L164" s="13" t="str">
        <f t="shared" si="57"/>
        <v>VARUN CHOPRA | MAX EGT/ITT (Continuous) #2</v>
      </c>
      <c r="M164" s="13" t="str">
        <f t="shared" si="58"/>
        <v>DEL | MAX EGT/ITT (Continuous) #2</v>
      </c>
      <c r="N164" s="8">
        <f t="shared" si="63"/>
        <v>32</v>
      </c>
      <c r="O164" s="8" t="str">
        <f t="shared" si="64"/>
        <v/>
      </c>
      <c r="P164" s="8" t="str">
        <f t="shared" si="65"/>
        <v/>
      </c>
      <c r="Q164" s="8" t="str">
        <f t="shared" si="59"/>
        <v/>
      </c>
      <c r="R164" s="8" t="str">
        <f t="shared" si="66"/>
        <v/>
      </c>
      <c r="S164" s="8" t="str">
        <f t="shared" si="67"/>
        <v/>
      </c>
      <c r="T164" s="8" t="str">
        <f t="shared" si="68"/>
        <v>Red</v>
      </c>
    </row>
    <row r="165" spans="1:20" ht="32" x14ac:dyDescent="0.2">
      <c r="A165" s="15">
        <v>45791</v>
      </c>
      <c r="B165" s="8" t="str">
        <f t="shared" si="60"/>
        <v>Quarter2</v>
      </c>
      <c r="C165" s="13" t="s">
        <v>111</v>
      </c>
      <c r="D165" s="8" t="str">
        <f t="shared" si="61"/>
        <v>SXR</v>
      </c>
      <c r="E165" s="13" t="s">
        <v>166</v>
      </c>
      <c r="F165" s="13" t="s">
        <v>375</v>
      </c>
      <c r="G165" s="13" t="s">
        <v>289</v>
      </c>
      <c r="H165" s="8" t="str">
        <f t="shared" si="62"/>
        <v>Approach</v>
      </c>
      <c r="I165" s="8" t="s">
        <v>115</v>
      </c>
      <c r="J165" s="13" t="s">
        <v>1203</v>
      </c>
      <c r="K165" s="13" t="str">
        <f t="shared" si="56"/>
        <v>SUDHIR SHARMA | Pitch Attitude Low at Landing</v>
      </c>
      <c r="L165" s="13" t="str">
        <f t="shared" si="57"/>
        <v>ANKUR BALANA | Pitch Attitude Low at Landing</v>
      </c>
      <c r="M165" s="13" t="str">
        <f t="shared" si="58"/>
        <v>SXR | Pitch Attitude Low at Landing</v>
      </c>
      <c r="N165" s="8" t="str">
        <f t="shared" si="63"/>
        <v/>
      </c>
      <c r="O165" s="8" t="str">
        <f t="shared" si="64"/>
        <v/>
      </c>
      <c r="P165" s="8" t="str">
        <f t="shared" si="65"/>
        <v/>
      </c>
      <c r="Q165" s="8" t="str">
        <f t="shared" si="59"/>
        <v/>
      </c>
      <c r="R165" s="8" t="str">
        <f t="shared" si="66"/>
        <v/>
      </c>
      <c r="S165" s="8" t="str">
        <f t="shared" si="67"/>
        <v/>
      </c>
      <c r="T165" s="8" t="str">
        <f t="shared" si="68"/>
        <v>Red</v>
      </c>
    </row>
    <row r="166" spans="1:20" ht="32" x14ac:dyDescent="0.2">
      <c r="A166" s="15">
        <v>45791</v>
      </c>
      <c r="B166" s="8" t="str">
        <f t="shared" si="60"/>
        <v>Quarter2</v>
      </c>
      <c r="C166" s="13" t="s">
        <v>35</v>
      </c>
      <c r="D166" s="8" t="str">
        <f t="shared" si="61"/>
        <v>BOM</v>
      </c>
      <c r="E166" s="13" t="s">
        <v>46</v>
      </c>
      <c r="F166" s="13" t="s">
        <v>900</v>
      </c>
      <c r="G166" s="13" t="s">
        <v>89</v>
      </c>
      <c r="H166" s="8" t="str">
        <f t="shared" si="62"/>
        <v>Approach</v>
      </c>
      <c r="I166" s="8" t="s">
        <v>203</v>
      </c>
      <c r="J166" s="13" t="s">
        <v>1207</v>
      </c>
      <c r="K166" s="13" t="str">
        <f t="shared" si="56"/>
        <v>SANJEEV KUMAR | Approach Speed High (1000-500 ft)</v>
      </c>
      <c r="L166" s="13" t="str">
        <f t="shared" si="57"/>
        <v>APEKSHA SINGH. | Approach Speed High (1000-500 ft)</v>
      </c>
      <c r="M166" s="13" t="str">
        <f t="shared" si="58"/>
        <v>BOM | Approach Speed High (1000-500 ft)</v>
      </c>
      <c r="N166" s="8">
        <f t="shared" si="63"/>
        <v>4</v>
      </c>
      <c r="O166" s="8" t="str">
        <f t="shared" si="64"/>
        <v/>
      </c>
      <c r="P166" s="8">
        <f t="shared" si="65"/>
        <v>956</v>
      </c>
      <c r="Q166" s="8" t="str">
        <f t="shared" si="59"/>
        <v/>
      </c>
      <c r="R166" s="8" t="str">
        <f t="shared" si="66"/>
        <v/>
      </c>
      <c r="S166" s="8" t="str">
        <f t="shared" si="67"/>
        <v/>
      </c>
      <c r="T166" s="8" t="str">
        <f t="shared" si="68"/>
        <v>Red</v>
      </c>
    </row>
    <row r="167" spans="1:20" ht="32" x14ac:dyDescent="0.2">
      <c r="A167" s="15">
        <v>45791</v>
      </c>
      <c r="B167" s="8" t="str">
        <f t="shared" si="60"/>
        <v>Quarter2</v>
      </c>
      <c r="C167" s="13" t="s">
        <v>35</v>
      </c>
      <c r="D167" s="8" t="str">
        <f t="shared" si="61"/>
        <v>BOM</v>
      </c>
      <c r="E167" s="13" t="s">
        <v>46</v>
      </c>
      <c r="F167" s="13" t="s">
        <v>900</v>
      </c>
      <c r="G167" s="13" t="s">
        <v>58</v>
      </c>
      <c r="H167" s="8" t="str">
        <f t="shared" si="62"/>
        <v>Approach</v>
      </c>
      <c r="I167" s="13" t="s">
        <v>203</v>
      </c>
      <c r="J167" s="13" t="s">
        <v>1208</v>
      </c>
      <c r="K167" s="13" t="str">
        <f t="shared" si="56"/>
        <v>SANJEEV KUMAR | Late Landing Flap</v>
      </c>
      <c r="L167" s="13" t="str">
        <f t="shared" si="57"/>
        <v>APEKSHA SINGH. | Late Landing Flap</v>
      </c>
      <c r="M167" s="13" t="str">
        <f t="shared" si="58"/>
        <v>BOM | Late Landing Flap</v>
      </c>
      <c r="N167" s="8" t="str">
        <f t="shared" si="63"/>
        <v/>
      </c>
      <c r="O167" s="8" t="str">
        <f t="shared" si="64"/>
        <v/>
      </c>
      <c r="P167" s="8" t="str">
        <f t="shared" si="65"/>
        <v/>
      </c>
      <c r="Q167" s="8" t="str">
        <f t="shared" si="59"/>
        <v/>
      </c>
      <c r="R167" s="8" t="str">
        <f t="shared" si="66"/>
        <v/>
      </c>
      <c r="S167" s="8" t="str">
        <f t="shared" si="67"/>
        <v/>
      </c>
      <c r="T167" s="8" t="str">
        <f t="shared" si="68"/>
        <v>Red</v>
      </c>
    </row>
    <row r="168" spans="1:20" ht="16" x14ac:dyDescent="0.2">
      <c r="A168" s="15">
        <v>45790</v>
      </c>
      <c r="B168" s="8" t="str">
        <f t="shared" si="60"/>
        <v>Quarter2</v>
      </c>
      <c r="C168" s="13" t="s">
        <v>146</v>
      </c>
      <c r="D168" s="8" t="str">
        <f t="shared" si="61"/>
        <v>PNQ</v>
      </c>
      <c r="E168" s="13" t="s">
        <v>647</v>
      </c>
      <c r="F168" s="13" t="s">
        <v>70</v>
      </c>
      <c r="G168" s="26" t="s">
        <v>778</v>
      </c>
      <c r="H168" s="8" t="str">
        <f t="shared" si="62"/>
        <v>Approach</v>
      </c>
      <c r="I168" s="8" t="s">
        <v>115</v>
      </c>
      <c r="J168" s="26" t="s">
        <v>1212</v>
      </c>
      <c r="K168" s="13" t="str">
        <f t="shared" si="56"/>
        <v>VARUN GUPTA | MAX EGT/ITT (Continuous) #2</v>
      </c>
      <c r="L168" s="13" t="str">
        <f t="shared" si="57"/>
        <v>PRASAD RAVINDRA MANIYAR | MAX EGT/ITT (Continuous) #2</v>
      </c>
      <c r="M168" s="13" t="str">
        <f t="shared" si="58"/>
        <v>PNQ | MAX EGT/ITT (Continuous) #2</v>
      </c>
      <c r="N168" s="8">
        <f t="shared" si="63"/>
        <v>11</v>
      </c>
      <c r="O168" s="8" t="str">
        <f t="shared" si="64"/>
        <v/>
      </c>
      <c r="P168" s="8" t="str">
        <f t="shared" si="65"/>
        <v/>
      </c>
      <c r="Q168" s="8" t="str">
        <f t="shared" si="59"/>
        <v/>
      </c>
      <c r="R168" s="8" t="str">
        <f t="shared" si="66"/>
        <v/>
      </c>
      <c r="S168" s="8" t="str">
        <f t="shared" si="67"/>
        <v/>
      </c>
      <c r="T168" s="8" t="str">
        <f t="shared" si="68"/>
        <v>Red</v>
      </c>
    </row>
    <row r="169" spans="1:20" ht="32" x14ac:dyDescent="0.2">
      <c r="A169" s="20">
        <v>45791</v>
      </c>
      <c r="B169" s="8" t="str">
        <f t="shared" si="60"/>
        <v>Quarter2</v>
      </c>
      <c r="C169" s="8" t="s">
        <v>1214</v>
      </c>
      <c r="D169" s="8" t="str">
        <f t="shared" si="61"/>
        <v>KTM</v>
      </c>
      <c r="E169" s="8" t="s">
        <v>764</v>
      </c>
      <c r="F169" s="8" t="s">
        <v>1215</v>
      </c>
      <c r="G169" s="8" t="s">
        <v>1216</v>
      </c>
      <c r="H169" s="8" t="str">
        <f t="shared" si="62"/>
        <v>Approach</v>
      </c>
      <c r="I169" s="8" t="s">
        <v>115</v>
      </c>
      <c r="J169" s="54" t="s">
        <v>1218</v>
      </c>
      <c r="K169" s="13" t="str">
        <f t="shared" si="56"/>
        <v>RAHUL SHARMA. | High Rate of Descent (1000-500 ft)</v>
      </c>
      <c r="L169" s="13" t="str">
        <f t="shared" si="57"/>
        <v>SANJIV MIDHA | High Rate of Descent (1000-500 ft)</v>
      </c>
      <c r="M169" s="13" t="str">
        <f t="shared" si="58"/>
        <v>KTM | High Rate of Descent (1000-500 ft)</v>
      </c>
      <c r="N169" s="8">
        <f t="shared" si="63"/>
        <v>6</v>
      </c>
      <c r="O169" s="8" t="str">
        <f t="shared" si="64"/>
        <v/>
      </c>
      <c r="P169" s="8">
        <f t="shared" si="65"/>
        <v>5312</v>
      </c>
      <c r="Q169" s="8" t="str">
        <f t="shared" si="59"/>
        <v/>
      </c>
      <c r="R169" s="8">
        <f t="shared" si="66"/>
        <v>1856</v>
      </c>
      <c r="S169" s="8" t="str">
        <f t="shared" si="67"/>
        <v/>
      </c>
      <c r="T169" s="8" t="str">
        <f t="shared" si="68"/>
        <v>Red</v>
      </c>
    </row>
    <row r="170" spans="1:20" ht="32" x14ac:dyDescent="0.2">
      <c r="A170" s="14">
        <v>45792</v>
      </c>
      <c r="B170" s="8" t="str">
        <f t="shared" si="60"/>
        <v>Quarter2</v>
      </c>
      <c r="C170" s="8" t="s">
        <v>1220</v>
      </c>
      <c r="D170" s="8" t="str">
        <f t="shared" si="61"/>
        <v>DED</v>
      </c>
      <c r="E170" s="8" t="s">
        <v>259</v>
      </c>
      <c r="F170" s="8" t="s">
        <v>497</v>
      </c>
      <c r="G170" s="8" t="s">
        <v>39</v>
      </c>
      <c r="H170" s="8" t="str">
        <f t="shared" si="62"/>
        <v>Approach</v>
      </c>
      <c r="I170" s="13" t="s">
        <v>115</v>
      </c>
      <c r="J170" s="13" t="s">
        <v>1227</v>
      </c>
      <c r="K170" s="13" t="str">
        <f t="shared" si="56"/>
        <v>TEJAS SALUJA | Deviation Below Glideslope (&lt;1000 ft)</v>
      </c>
      <c r="L170" s="13" t="str">
        <f t="shared" si="57"/>
        <v>SABAREE THANGAVEL | Deviation Below Glideslope (&lt;1000 ft)</v>
      </c>
      <c r="M170" s="13" t="str">
        <f t="shared" si="58"/>
        <v>DED | Deviation Below Glideslope (&lt;1000 ft)</v>
      </c>
      <c r="N170" s="8">
        <f t="shared" si="63"/>
        <v>7</v>
      </c>
      <c r="O170" s="8">
        <f t="shared" si="64"/>
        <v>2.09</v>
      </c>
      <c r="P170" s="8" t="str">
        <f t="shared" si="65"/>
        <v/>
      </c>
      <c r="Q170" s="8" t="str">
        <f t="shared" si="59"/>
        <v/>
      </c>
      <c r="R170" s="8" t="str">
        <f t="shared" si="66"/>
        <v/>
      </c>
      <c r="S170" s="8" t="str">
        <f t="shared" si="67"/>
        <v/>
      </c>
      <c r="T170" s="8" t="str">
        <f t="shared" si="68"/>
        <v>Red</v>
      </c>
    </row>
    <row r="171" spans="1:20" ht="16" x14ac:dyDescent="0.2">
      <c r="A171" s="14">
        <v>45793</v>
      </c>
      <c r="B171" s="8" t="str">
        <f t="shared" si="60"/>
        <v>Quarter2</v>
      </c>
      <c r="C171" s="8" t="s">
        <v>465</v>
      </c>
      <c r="D171" s="8" t="str">
        <f t="shared" si="61"/>
        <v>DEL</v>
      </c>
      <c r="E171" s="8" t="s">
        <v>763</v>
      </c>
      <c r="F171" s="8" t="s">
        <v>1221</v>
      </c>
      <c r="G171" s="8" t="s">
        <v>27</v>
      </c>
      <c r="H171" s="8" t="str">
        <f t="shared" si="62"/>
        <v>Approach</v>
      </c>
      <c r="I171" s="8" t="s">
        <v>157</v>
      </c>
      <c r="J171" s="8" t="s">
        <v>1222</v>
      </c>
      <c r="K171" s="13" t="str">
        <f t="shared" si="56"/>
        <v>RAJIV SINGH | Go around</v>
      </c>
      <c r="L171" s="13" t="str">
        <f t="shared" si="57"/>
        <v>VAIBHAV SINGH | Go around</v>
      </c>
      <c r="M171" s="13" t="str">
        <f t="shared" si="58"/>
        <v>DEL | Go around</v>
      </c>
      <c r="N171" s="8" t="str">
        <f t="shared" si="63"/>
        <v/>
      </c>
      <c r="O171" s="8" t="str">
        <f t="shared" si="64"/>
        <v/>
      </c>
      <c r="P171" s="8" t="str">
        <f t="shared" si="65"/>
        <v/>
      </c>
      <c r="Q171" s="8" t="str">
        <f t="shared" si="59"/>
        <v/>
      </c>
      <c r="R171" s="8" t="str">
        <f t="shared" si="66"/>
        <v/>
      </c>
      <c r="S171" s="8">
        <f t="shared" si="67"/>
        <v>1996</v>
      </c>
      <c r="T171" s="8" t="str">
        <f t="shared" si="68"/>
        <v>Red</v>
      </c>
    </row>
    <row r="172" spans="1:20" ht="64" x14ac:dyDescent="0.2">
      <c r="A172" s="56">
        <v>45794</v>
      </c>
      <c r="B172" s="8" t="str">
        <f t="shared" si="60"/>
        <v>Quarter2</v>
      </c>
      <c r="C172" s="55" t="s">
        <v>103</v>
      </c>
      <c r="D172" s="8" t="str">
        <f t="shared" si="61"/>
        <v>DEL</v>
      </c>
      <c r="E172" s="55" t="s">
        <v>303</v>
      </c>
      <c r="F172" s="55" t="s">
        <v>786</v>
      </c>
      <c r="G172" s="55" t="s">
        <v>1260</v>
      </c>
      <c r="H172" s="8" t="str">
        <f t="shared" si="62"/>
        <v>Approach</v>
      </c>
      <c r="I172" s="55" t="s">
        <v>1259</v>
      </c>
      <c r="J172" s="57" t="s">
        <v>1246</v>
      </c>
      <c r="K172" s="13" t="str">
        <f t="shared" si="56"/>
        <v>AMALENDU | Long landing(Disregard)</v>
      </c>
      <c r="L172" s="13" t="str">
        <f t="shared" si="57"/>
        <v>DEEPINDER PAL SINGH WALIA | Long landing(Disregard)</v>
      </c>
      <c r="M172" s="13" t="str">
        <f t="shared" si="58"/>
        <v>DEL | Long landing(Disregard)</v>
      </c>
      <c r="N172" s="8" t="str">
        <f t="shared" si="63"/>
        <v/>
      </c>
      <c r="O172" s="8" t="str">
        <f t="shared" si="64"/>
        <v/>
      </c>
      <c r="P172" s="8" t="str">
        <f t="shared" si="65"/>
        <v/>
      </c>
      <c r="Q172" s="8" t="str">
        <f t="shared" ref="Q172:Q204" si="69">IFERROR(VALUE(MID(J172,FIND("Max CAS:",J172)+8,FIND(" kts",J172)-FIND("Max CAS:",J172)-8)),"")</f>
        <v/>
      </c>
      <c r="R172" s="8" t="str">
        <f t="shared" si="66"/>
        <v/>
      </c>
      <c r="S172" s="8">
        <f t="shared" si="67"/>
        <v>46</v>
      </c>
      <c r="T172" s="8" t="str">
        <f t="shared" si="68"/>
        <v>Red</v>
      </c>
    </row>
    <row r="173" spans="1:20" ht="32" x14ac:dyDescent="0.2">
      <c r="A173" s="14">
        <v>45795</v>
      </c>
      <c r="B173" s="8" t="str">
        <f t="shared" si="60"/>
        <v>Quarter2</v>
      </c>
      <c r="C173" s="8" t="s">
        <v>221</v>
      </c>
      <c r="D173" s="8" t="str">
        <f t="shared" si="61"/>
        <v>DEL</v>
      </c>
      <c r="E173" s="8" t="s">
        <v>420</v>
      </c>
      <c r="F173" s="8" t="s">
        <v>47</v>
      </c>
      <c r="G173" s="8" t="s">
        <v>53</v>
      </c>
      <c r="H173" s="8" t="str">
        <f t="shared" si="62"/>
        <v>Approach</v>
      </c>
      <c r="I173" s="8" t="s">
        <v>115</v>
      </c>
      <c r="J173" s="13" t="s">
        <v>1247</v>
      </c>
      <c r="K173" s="13" t="str">
        <f t="shared" si="56"/>
        <v>PARITOSH KUMAR SINGH | Low Rate of Descent (&lt;1000 ft)</v>
      </c>
      <c r="L173" s="13" t="str">
        <f t="shared" si="57"/>
        <v>RONNY SINGH | Low Rate of Descent (&lt;1000 ft)</v>
      </c>
      <c r="M173" s="13" t="str">
        <f t="shared" si="58"/>
        <v>DEL | Low Rate of Descent (&lt;1000 ft)</v>
      </c>
      <c r="N173" s="8">
        <f t="shared" si="63"/>
        <v>4</v>
      </c>
      <c r="O173" s="8" t="str">
        <f t="shared" si="64"/>
        <v/>
      </c>
      <c r="P173" s="8" t="str">
        <f t="shared" si="65"/>
        <v/>
      </c>
      <c r="Q173" s="8" t="str">
        <f t="shared" si="69"/>
        <v/>
      </c>
      <c r="R173" s="8" t="str">
        <f t="shared" si="66"/>
        <v/>
      </c>
      <c r="S173" s="8" t="str">
        <f t="shared" si="67"/>
        <v/>
      </c>
      <c r="T173" s="8" t="str">
        <f t="shared" si="68"/>
        <v>Red</v>
      </c>
    </row>
    <row r="174" spans="1:20" ht="32" x14ac:dyDescent="0.2">
      <c r="A174" s="14">
        <v>45795</v>
      </c>
      <c r="B174" s="8" t="str">
        <f t="shared" si="60"/>
        <v>Quarter2</v>
      </c>
      <c r="C174" s="8" t="s">
        <v>221</v>
      </c>
      <c r="D174" s="8" t="str">
        <f t="shared" si="61"/>
        <v>DEL</v>
      </c>
      <c r="E174" s="8" t="s">
        <v>420</v>
      </c>
      <c r="F174" s="8" t="s">
        <v>47</v>
      </c>
      <c r="G174" s="8" t="s">
        <v>529</v>
      </c>
      <c r="H174" s="8" t="str">
        <f t="shared" si="62"/>
        <v>Approach</v>
      </c>
      <c r="I174" s="8" t="s">
        <v>115</v>
      </c>
      <c r="J174" s="13" t="s">
        <v>1248</v>
      </c>
      <c r="K174" s="13" t="str">
        <f t="shared" si="56"/>
        <v>PARITOSH KUMAR SINGH | Approach Speed High (500-50 ft)</v>
      </c>
      <c r="L174" s="13" t="str">
        <f t="shared" si="57"/>
        <v>RONNY SINGH | Approach Speed High (500-50 ft)</v>
      </c>
      <c r="M174" s="13" t="str">
        <f t="shared" si="58"/>
        <v>DEL | Approach Speed High (500-50 ft)</v>
      </c>
      <c r="N174" s="8" t="str">
        <f t="shared" si="63"/>
        <v/>
      </c>
      <c r="O174" s="8" t="str">
        <f t="shared" si="64"/>
        <v/>
      </c>
      <c r="P174" s="8">
        <f t="shared" si="65"/>
        <v>124</v>
      </c>
      <c r="Q174" s="8" t="str">
        <f t="shared" si="69"/>
        <v/>
      </c>
      <c r="R174" s="8" t="str">
        <f t="shared" si="66"/>
        <v/>
      </c>
      <c r="S174" s="8" t="str">
        <f t="shared" si="67"/>
        <v/>
      </c>
      <c r="T174" s="8" t="str">
        <f t="shared" si="68"/>
        <v>Red</v>
      </c>
    </row>
    <row r="175" spans="1:20" ht="32" x14ac:dyDescent="0.2">
      <c r="A175" s="14">
        <v>45795</v>
      </c>
      <c r="B175" s="8" t="str">
        <f t="shared" si="60"/>
        <v>Quarter2</v>
      </c>
      <c r="C175" s="8" t="s">
        <v>221</v>
      </c>
      <c r="D175" s="8" t="str">
        <f t="shared" si="61"/>
        <v>DEL</v>
      </c>
      <c r="E175" s="8" t="s">
        <v>420</v>
      </c>
      <c r="F175" s="8" t="s">
        <v>47</v>
      </c>
      <c r="G175" s="8" t="s">
        <v>136</v>
      </c>
      <c r="H175" s="8" t="str">
        <f t="shared" si="62"/>
        <v>Approach</v>
      </c>
      <c r="I175" s="8" t="s">
        <v>115</v>
      </c>
      <c r="J175" s="13" t="s">
        <v>1249</v>
      </c>
      <c r="K175" s="13" t="str">
        <f t="shared" si="56"/>
        <v>PARITOSH KUMAR SINGH | Approach Speed High (&lt;50 ft)</v>
      </c>
      <c r="L175" s="13" t="str">
        <f t="shared" si="57"/>
        <v>RONNY SINGH | Approach Speed High (&lt;50 ft)</v>
      </c>
      <c r="M175" s="13" t="str">
        <f t="shared" si="58"/>
        <v>DEL | Approach Speed High (&lt;50 ft)</v>
      </c>
      <c r="N175" s="8" t="str">
        <f t="shared" si="63"/>
        <v/>
      </c>
      <c r="O175" s="8" t="str">
        <f t="shared" si="64"/>
        <v/>
      </c>
      <c r="P175" s="8">
        <f t="shared" si="65"/>
        <v>34</v>
      </c>
      <c r="Q175" s="8" t="str">
        <f t="shared" si="69"/>
        <v/>
      </c>
      <c r="R175" s="8" t="str">
        <f t="shared" si="66"/>
        <v/>
      </c>
      <c r="S175" s="8" t="str">
        <f t="shared" si="67"/>
        <v/>
      </c>
      <c r="T175" s="8" t="str">
        <f t="shared" si="68"/>
        <v>Red</v>
      </c>
    </row>
    <row r="176" spans="1:20" ht="32" x14ac:dyDescent="0.2">
      <c r="A176" s="14">
        <v>45794</v>
      </c>
      <c r="B176" s="8" t="str">
        <f t="shared" si="60"/>
        <v>Quarter2</v>
      </c>
      <c r="C176" s="8" t="s">
        <v>1230</v>
      </c>
      <c r="D176" s="8" t="str">
        <f t="shared" si="61"/>
        <v>AMD</v>
      </c>
      <c r="E176" s="8" t="s">
        <v>646</v>
      </c>
      <c r="F176" s="8" t="s">
        <v>216</v>
      </c>
      <c r="G176" s="8" t="s">
        <v>261</v>
      </c>
      <c r="H176" s="8" t="str">
        <f t="shared" si="62"/>
        <v>Taxi</v>
      </c>
      <c r="I176" s="8" t="s">
        <v>115</v>
      </c>
      <c r="J176" s="13" t="s">
        <v>1250</v>
      </c>
      <c r="K176" s="13" t="str">
        <f t="shared" si="56"/>
        <v>NITIN DEV SAVLODIA | High Taxi Speed (Straight)</v>
      </c>
      <c r="L176" s="13" t="str">
        <f t="shared" si="57"/>
        <v>VISHAL CHHIKARA | High Taxi Speed (Straight)</v>
      </c>
      <c r="M176" s="13" t="str">
        <f t="shared" si="58"/>
        <v>AMD | High Taxi Speed (Straight)</v>
      </c>
      <c r="N176" s="8">
        <f t="shared" si="63"/>
        <v>12</v>
      </c>
      <c r="O176" s="8" t="str">
        <f t="shared" si="64"/>
        <v/>
      </c>
      <c r="P176" s="8" t="str">
        <f t="shared" si="65"/>
        <v/>
      </c>
      <c r="Q176" s="8" t="str">
        <f t="shared" si="69"/>
        <v/>
      </c>
      <c r="R176" s="8" t="str">
        <f t="shared" si="66"/>
        <v/>
      </c>
      <c r="S176" s="8" t="str">
        <f t="shared" si="67"/>
        <v/>
      </c>
      <c r="T176" s="8" t="str">
        <f t="shared" si="68"/>
        <v>Red</v>
      </c>
    </row>
    <row r="177" spans="1:20" ht="32" x14ac:dyDescent="0.2">
      <c r="A177" s="20">
        <v>45793</v>
      </c>
      <c r="B177" s="8" t="str">
        <f t="shared" si="60"/>
        <v>Quarter2</v>
      </c>
      <c r="C177" s="8" t="s">
        <v>888</v>
      </c>
      <c r="D177" s="8" t="str">
        <f t="shared" si="61"/>
        <v>BLR</v>
      </c>
      <c r="E177" s="8" t="s">
        <v>1235</v>
      </c>
      <c r="F177" s="8" t="s">
        <v>225</v>
      </c>
      <c r="G177" s="13" t="s">
        <v>58</v>
      </c>
      <c r="H177" s="8" t="str">
        <f t="shared" si="62"/>
        <v>Approach</v>
      </c>
      <c r="I177" s="8" t="s">
        <v>115</v>
      </c>
      <c r="J177" s="13" t="s">
        <v>1253</v>
      </c>
      <c r="K177" s="13" t="str">
        <f t="shared" si="56"/>
        <v>ANUBHAV KUMAR
 | Late Landing Flap</v>
      </c>
      <c r="L177" s="13" t="str">
        <f t="shared" si="57"/>
        <v>VIKRAM  SINGH | Late Landing Flap</v>
      </c>
      <c r="M177" s="13" t="str">
        <f t="shared" si="58"/>
        <v>BLR | Late Landing Flap</v>
      </c>
      <c r="N177" s="8" t="str">
        <f t="shared" si="63"/>
        <v/>
      </c>
      <c r="O177" s="8" t="str">
        <f t="shared" si="64"/>
        <v/>
      </c>
      <c r="P177" s="8" t="str">
        <f t="shared" si="65"/>
        <v/>
      </c>
      <c r="Q177" s="8" t="str">
        <f t="shared" si="69"/>
        <v/>
      </c>
      <c r="R177" s="8" t="str">
        <f t="shared" si="66"/>
        <v/>
      </c>
      <c r="S177" s="8" t="str">
        <f t="shared" si="67"/>
        <v/>
      </c>
      <c r="T177" s="8" t="str">
        <f t="shared" si="68"/>
        <v>Red</v>
      </c>
    </row>
    <row r="178" spans="1:20" ht="64" x14ac:dyDescent="0.2">
      <c r="A178" s="14">
        <v>45794</v>
      </c>
      <c r="B178" s="8" t="str">
        <f t="shared" si="60"/>
        <v>Quarter2</v>
      </c>
      <c r="C178" s="8" t="s">
        <v>103</v>
      </c>
      <c r="D178" s="8" t="str">
        <f t="shared" si="61"/>
        <v>DEL</v>
      </c>
      <c r="E178" s="8" t="s">
        <v>477</v>
      </c>
      <c r="F178" s="8" t="s">
        <v>142</v>
      </c>
      <c r="G178" s="8" t="s">
        <v>232</v>
      </c>
      <c r="H178" s="8" t="str">
        <f t="shared" si="62"/>
        <v>Approach</v>
      </c>
      <c r="I178" s="8" t="s">
        <v>115</v>
      </c>
      <c r="J178" s="13" t="s">
        <v>1246</v>
      </c>
      <c r="K178" s="13" t="str">
        <f t="shared" si="56"/>
        <v>HARINDER SINGH | Long landing</v>
      </c>
      <c r="L178" s="13" t="str">
        <f t="shared" si="57"/>
        <v>SAKSHI SAXENA | Long landing</v>
      </c>
      <c r="M178" s="13" t="str">
        <f t="shared" si="58"/>
        <v>DEL | Long landing</v>
      </c>
      <c r="N178" s="8" t="str">
        <f t="shared" si="63"/>
        <v/>
      </c>
      <c r="O178" s="8" t="str">
        <f t="shared" si="64"/>
        <v/>
      </c>
      <c r="P178" s="8" t="str">
        <f t="shared" si="65"/>
        <v/>
      </c>
      <c r="Q178" s="8" t="str">
        <f t="shared" si="69"/>
        <v/>
      </c>
      <c r="R178" s="8" t="str">
        <f t="shared" si="66"/>
        <v/>
      </c>
      <c r="S178" s="8">
        <f t="shared" si="67"/>
        <v>46</v>
      </c>
      <c r="T178" s="8" t="str">
        <f t="shared" si="68"/>
        <v>Red</v>
      </c>
    </row>
    <row r="179" spans="1:20" ht="16" x14ac:dyDescent="0.2">
      <c r="A179" s="12">
        <v>45796</v>
      </c>
      <c r="B179" s="8" t="str">
        <f t="shared" si="60"/>
        <v>Quarter2</v>
      </c>
      <c r="C179" s="13" t="s">
        <v>41</v>
      </c>
      <c r="D179" s="8" t="str">
        <f t="shared" si="61"/>
        <v>DEL</v>
      </c>
      <c r="E179" s="13" t="s">
        <v>112</v>
      </c>
      <c r="F179" s="13" t="s">
        <v>33</v>
      </c>
      <c r="G179" s="13" t="s">
        <v>27</v>
      </c>
      <c r="H179" s="8" t="str">
        <f t="shared" si="62"/>
        <v>Approach</v>
      </c>
      <c r="I179" s="8" t="s">
        <v>157</v>
      </c>
      <c r="J179" s="13" t="s">
        <v>1266</v>
      </c>
      <c r="K179" s="13" t="str">
        <f t="shared" si="56"/>
        <v>ANAND MURTHY TIWARI | Go around</v>
      </c>
      <c r="L179" s="13" t="str">
        <f t="shared" si="57"/>
        <v>UMANG BHATIA | Go around</v>
      </c>
      <c r="M179" s="13" t="str">
        <f t="shared" si="58"/>
        <v>DEL | Go around</v>
      </c>
      <c r="N179" s="8" t="str">
        <f t="shared" si="63"/>
        <v/>
      </c>
      <c r="O179" s="8" t="str">
        <f t="shared" si="64"/>
        <v/>
      </c>
      <c r="P179" s="8" t="str">
        <f t="shared" si="65"/>
        <v/>
      </c>
      <c r="Q179" s="8" t="str">
        <f t="shared" si="69"/>
        <v/>
      </c>
      <c r="R179" s="8" t="str">
        <f t="shared" si="66"/>
        <v/>
      </c>
      <c r="S179" s="8">
        <f t="shared" si="67"/>
        <v>288</v>
      </c>
      <c r="T179" s="8" t="str">
        <f t="shared" si="68"/>
        <v>Red</v>
      </c>
    </row>
    <row r="180" spans="1:20" ht="32" x14ac:dyDescent="0.2">
      <c r="A180" s="20">
        <v>45799</v>
      </c>
      <c r="B180" s="8" t="str">
        <f t="shared" si="60"/>
        <v>Quarter2</v>
      </c>
      <c r="C180" s="8" t="s">
        <v>1275</v>
      </c>
      <c r="D180" s="8" t="str">
        <f t="shared" si="61"/>
        <v>GOX</v>
      </c>
      <c r="E180" s="8" t="s">
        <v>194</v>
      </c>
      <c r="F180" s="8" t="s">
        <v>668</v>
      </c>
      <c r="G180" s="13" t="s">
        <v>58</v>
      </c>
      <c r="H180" s="8" t="str">
        <f t="shared" si="62"/>
        <v>Approach</v>
      </c>
      <c r="I180" s="8" t="s">
        <v>115</v>
      </c>
      <c r="J180" s="13" t="s">
        <v>1278</v>
      </c>
      <c r="K180" s="13" t="str">
        <f t="shared" si="56"/>
        <v>MAHENDRA KUVARJI CHHEDA | Late Landing Flap</v>
      </c>
      <c r="L180" s="13" t="str">
        <f t="shared" si="57"/>
        <v>MAAZ MOHAMMED | Late Landing Flap</v>
      </c>
      <c r="M180" s="13" t="str">
        <f t="shared" si="58"/>
        <v>GOX | Late Landing Flap</v>
      </c>
      <c r="N180" s="8" t="str">
        <f t="shared" si="63"/>
        <v/>
      </c>
      <c r="O180" s="8" t="str">
        <f t="shared" si="64"/>
        <v/>
      </c>
      <c r="P180" s="8" t="str">
        <f t="shared" si="65"/>
        <v/>
      </c>
      <c r="Q180" s="8" t="str">
        <f t="shared" si="69"/>
        <v/>
      </c>
      <c r="R180" s="8" t="str">
        <f t="shared" si="66"/>
        <v/>
      </c>
      <c r="S180" s="8" t="str">
        <f t="shared" si="67"/>
        <v/>
      </c>
      <c r="T180" s="8" t="str">
        <f t="shared" si="68"/>
        <v>Red</v>
      </c>
    </row>
    <row r="181" spans="1:20" ht="32" x14ac:dyDescent="0.2">
      <c r="A181" s="20">
        <v>45799</v>
      </c>
      <c r="B181" s="8" t="str">
        <f t="shared" si="60"/>
        <v>Quarter2</v>
      </c>
      <c r="C181" s="8" t="s">
        <v>1275</v>
      </c>
      <c r="D181" s="8" t="str">
        <f t="shared" si="61"/>
        <v>GOX</v>
      </c>
      <c r="E181" s="8" t="s">
        <v>194</v>
      </c>
      <c r="F181" s="8" t="s">
        <v>668</v>
      </c>
      <c r="G181" s="13" t="s">
        <v>89</v>
      </c>
      <c r="H181" s="8" t="str">
        <f t="shared" si="62"/>
        <v>Approach</v>
      </c>
      <c r="I181" s="8" t="s">
        <v>115</v>
      </c>
      <c r="J181" s="13" t="s">
        <v>1279</v>
      </c>
      <c r="K181" s="13" t="str">
        <f t="shared" si="56"/>
        <v>MAHENDRA KUVARJI CHHEDA | Approach Speed High (1000-500 ft)</v>
      </c>
      <c r="L181" s="13" t="str">
        <f t="shared" si="57"/>
        <v>MAAZ MOHAMMED | Approach Speed High (1000-500 ft)</v>
      </c>
      <c r="M181" s="13" t="str">
        <f t="shared" si="58"/>
        <v>GOX | Approach Speed High (1000-500 ft)</v>
      </c>
      <c r="N181" s="8">
        <f t="shared" si="63"/>
        <v>4</v>
      </c>
      <c r="O181" s="8" t="str">
        <f t="shared" si="64"/>
        <v/>
      </c>
      <c r="P181" s="8">
        <f t="shared" si="65"/>
        <v>1477</v>
      </c>
      <c r="Q181" s="8" t="str">
        <f t="shared" si="69"/>
        <v/>
      </c>
      <c r="R181" s="8" t="str">
        <f t="shared" si="66"/>
        <v/>
      </c>
      <c r="S181" s="8" t="str">
        <f t="shared" si="67"/>
        <v/>
      </c>
      <c r="T181" s="8" t="str">
        <f t="shared" si="68"/>
        <v>Red</v>
      </c>
    </row>
    <row r="182" spans="1:20" ht="16" x14ac:dyDescent="0.2">
      <c r="A182" s="14">
        <v>45799</v>
      </c>
      <c r="B182" s="8" t="str">
        <f t="shared" si="60"/>
        <v>Quarter2</v>
      </c>
      <c r="C182" s="8" t="s">
        <v>95</v>
      </c>
      <c r="D182" s="8" t="str">
        <f t="shared" si="61"/>
        <v>DEL</v>
      </c>
      <c r="E182" s="8" t="s">
        <v>511</v>
      </c>
      <c r="F182" s="8" t="s">
        <v>499</v>
      </c>
      <c r="G182" s="8" t="s">
        <v>27</v>
      </c>
      <c r="H182" s="8" t="str">
        <f t="shared" si="62"/>
        <v>Approach</v>
      </c>
      <c r="I182" s="8" t="s">
        <v>157</v>
      </c>
      <c r="J182" s="13" t="s">
        <v>1281</v>
      </c>
      <c r="K182" s="13" t="str">
        <f t="shared" si="56"/>
        <v>MANABENDRA DEKA | Go around</v>
      </c>
      <c r="L182" s="13" t="str">
        <f t="shared" si="57"/>
        <v>NIKHIL CHAWLA | Go around</v>
      </c>
      <c r="M182" s="13" t="str">
        <f t="shared" si="58"/>
        <v>DEL | Go around</v>
      </c>
      <c r="N182" s="8" t="str">
        <f t="shared" si="63"/>
        <v/>
      </c>
      <c r="O182" s="8" t="str">
        <f t="shared" si="64"/>
        <v/>
      </c>
      <c r="P182" s="8" t="str">
        <f t="shared" si="65"/>
        <v/>
      </c>
      <c r="Q182" s="8" t="str">
        <f t="shared" si="69"/>
        <v/>
      </c>
      <c r="R182" s="8" t="str">
        <f t="shared" si="66"/>
        <v/>
      </c>
      <c r="S182" s="8">
        <f t="shared" si="67"/>
        <v>728</v>
      </c>
      <c r="T182" s="8" t="str">
        <f t="shared" si="68"/>
        <v>Red</v>
      </c>
    </row>
    <row r="183" spans="1:20" ht="32" x14ac:dyDescent="0.2">
      <c r="A183" s="20">
        <v>45800</v>
      </c>
      <c r="B183" s="8" t="str">
        <f t="shared" si="60"/>
        <v>Quarter2</v>
      </c>
      <c r="C183" s="13" t="s">
        <v>311</v>
      </c>
      <c r="D183" s="8" t="str">
        <f t="shared" si="61"/>
        <v>IXL</v>
      </c>
      <c r="E183" s="13" t="s">
        <v>703</v>
      </c>
      <c r="F183" s="13" t="s">
        <v>266</v>
      </c>
      <c r="G183" s="8" t="s">
        <v>136</v>
      </c>
      <c r="H183" s="8" t="str">
        <f t="shared" si="62"/>
        <v>Approach</v>
      </c>
      <c r="I183" s="13" t="s">
        <v>115</v>
      </c>
      <c r="J183" s="13" t="s">
        <v>1290</v>
      </c>
      <c r="K183" s="13" t="str">
        <f t="shared" si="56"/>
        <v>DHRUV MITAL | Approach Speed High (&lt;50 ft)</v>
      </c>
      <c r="L183" s="13" t="str">
        <f t="shared" si="57"/>
        <v>RACHITA MATTA | Approach Speed High (&lt;50 ft)</v>
      </c>
      <c r="M183" s="13" t="str">
        <f t="shared" si="58"/>
        <v>IXL | Approach Speed High (&lt;50 ft)</v>
      </c>
      <c r="N183" s="8">
        <f t="shared" si="63"/>
        <v>4</v>
      </c>
      <c r="O183" s="8" t="str">
        <f t="shared" si="64"/>
        <v/>
      </c>
      <c r="P183" s="8">
        <f t="shared" si="65"/>
        <v>10</v>
      </c>
      <c r="Q183" s="8" t="str">
        <f t="shared" si="69"/>
        <v/>
      </c>
      <c r="R183" s="8" t="str">
        <f t="shared" si="66"/>
        <v/>
      </c>
      <c r="S183" s="8" t="str">
        <f t="shared" si="67"/>
        <v/>
      </c>
      <c r="T183" s="8" t="str">
        <f t="shared" si="68"/>
        <v>Red</v>
      </c>
    </row>
    <row r="184" spans="1:20" ht="16" x14ac:dyDescent="0.2">
      <c r="A184" s="12">
        <v>45802</v>
      </c>
      <c r="B184" s="8" t="str">
        <f t="shared" si="60"/>
        <v>Quarter2</v>
      </c>
      <c r="C184" s="13" t="s">
        <v>1300</v>
      </c>
      <c r="D184" s="8" t="str">
        <f t="shared" si="61"/>
        <v>DEL</v>
      </c>
      <c r="E184" s="13" t="s">
        <v>711</v>
      </c>
      <c r="F184" s="13" t="s">
        <v>104</v>
      </c>
      <c r="G184" s="13" t="s">
        <v>1311</v>
      </c>
      <c r="H184" s="8" t="str">
        <f t="shared" si="62"/>
        <v>Approach</v>
      </c>
      <c r="I184" s="8" t="s">
        <v>157</v>
      </c>
      <c r="J184" s="8" t="s">
        <v>1303</v>
      </c>
      <c r="K184" s="13" t="str">
        <f t="shared" si="56"/>
        <v xml:space="preserve">ARPIT ASHIT GANDHI | Go around 1st </v>
      </c>
      <c r="L184" s="13" t="str">
        <f t="shared" si="57"/>
        <v xml:space="preserve">SUKIRAT SINGH | Go around 1st </v>
      </c>
      <c r="M184" s="13" t="str">
        <f t="shared" si="58"/>
        <v xml:space="preserve">DEL | Go around 1st </v>
      </c>
      <c r="N184" s="8" t="str">
        <f t="shared" si="63"/>
        <v/>
      </c>
      <c r="O184" s="8" t="str">
        <f t="shared" si="64"/>
        <v/>
      </c>
      <c r="P184" s="8" t="str">
        <f t="shared" si="65"/>
        <v/>
      </c>
      <c r="Q184" s="8" t="str">
        <f t="shared" si="69"/>
        <v/>
      </c>
      <c r="R184" s="8" t="str">
        <f t="shared" si="66"/>
        <v/>
      </c>
      <c r="S184" s="8">
        <f t="shared" si="67"/>
        <v>473</v>
      </c>
      <c r="T184" s="8" t="str">
        <f t="shared" si="68"/>
        <v>Red</v>
      </c>
    </row>
    <row r="185" spans="1:20" ht="16" x14ac:dyDescent="0.2">
      <c r="A185" s="12">
        <v>45802</v>
      </c>
      <c r="B185" s="8" t="str">
        <f t="shared" si="60"/>
        <v>Quarter2</v>
      </c>
      <c r="C185" s="13" t="s">
        <v>1300</v>
      </c>
      <c r="D185" s="8" t="str">
        <f t="shared" si="61"/>
        <v>DEL</v>
      </c>
      <c r="E185" s="13" t="s">
        <v>711</v>
      </c>
      <c r="F185" s="13" t="s">
        <v>104</v>
      </c>
      <c r="G185" s="13" t="s">
        <v>1312</v>
      </c>
      <c r="H185" s="8" t="str">
        <f t="shared" si="62"/>
        <v>Approach</v>
      </c>
      <c r="I185" s="8" t="s">
        <v>157</v>
      </c>
      <c r="J185" s="8" t="s">
        <v>1305</v>
      </c>
      <c r="K185" s="13" t="str">
        <f t="shared" si="56"/>
        <v xml:space="preserve">ARPIT ASHIT GANDHI | Go around 2nd </v>
      </c>
      <c r="L185" s="13" t="str">
        <f t="shared" si="57"/>
        <v xml:space="preserve">SUKIRAT SINGH | Go around 2nd </v>
      </c>
      <c r="M185" s="13" t="str">
        <f t="shared" si="58"/>
        <v xml:space="preserve">DEL | Go around 2nd </v>
      </c>
      <c r="N185" s="8" t="str">
        <f t="shared" si="63"/>
        <v/>
      </c>
      <c r="O185" s="8" t="str">
        <f t="shared" si="64"/>
        <v/>
      </c>
      <c r="P185" s="8" t="str">
        <f t="shared" si="65"/>
        <v/>
      </c>
      <c r="Q185" s="8" t="str">
        <f t="shared" si="69"/>
        <v/>
      </c>
      <c r="R185" s="8" t="str">
        <f t="shared" si="66"/>
        <v/>
      </c>
      <c r="S185" s="8">
        <f t="shared" si="67"/>
        <v>1139</v>
      </c>
      <c r="T185" s="8" t="str">
        <f t="shared" si="68"/>
        <v>Red</v>
      </c>
    </row>
    <row r="186" spans="1:20" ht="32" x14ac:dyDescent="0.2">
      <c r="A186" s="14">
        <v>45801</v>
      </c>
      <c r="B186" s="8" t="str">
        <f t="shared" si="60"/>
        <v>Quarter2</v>
      </c>
      <c r="C186" s="13" t="s">
        <v>32</v>
      </c>
      <c r="D186" s="8" t="str">
        <f t="shared" si="61"/>
        <v>CCJ</v>
      </c>
      <c r="E186" s="13" t="s">
        <v>342</v>
      </c>
      <c r="F186" s="13" t="s">
        <v>1308</v>
      </c>
      <c r="G186" s="13" t="s">
        <v>1079</v>
      </c>
      <c r="H186" s="8" t="str">
        <f t="shared" si="62"/>
        <v>Taxi</v>
      </c>
      <c r="I186" s="8" t="s">
        <v>115</v>
      </c>
      <c r="J186" s="13" t="s">
        <v>1310</v>
      </c>
      <c r="K186" s="13" t="str">
        <f t="shared" si="56"/>
        <v>TANMAY GANESH KELUSKAR | High Taxi Speed (Runway Backtrack)</v>
      </c>
      <c r="L186" s="13" t="str">
        <f t="shared" si="57"/>
        <v>ADITYA SHARMA POTHURI | High Taxi Speed (Runway Backtrack)</v>
      </c>
      <c r="M186" s="13" t="str">
        <f t="shared" si="58"/>
        <v>CCJ | High Taxi Speed (Runway Backtrack)</v>
      </c>
      <c r="N186" s="8" t="str">
        <f t="shared" si="63"/>
        <v/>
      </c>
      <c r="O186" s="8" t="str">
        <f t="shared" si="64"/>
        <v/>
      </c>
      <c r="P186" s="8" t="str">
        <f t="shared" si="65"/>
        <v/>
      </c>
      <c r="Q186" s="8" t="str">
        <f t="shared" si="69"/>
        <v/>
      </c>
      <c r="R186" s="8" t="str">
        <f t="shared" si="66"/>
        <v/>
      </c>
      <c r="S186" s="8" t="str">
        <f t="shared" si="67"/>
        <v/>
      </c>
      <c r="T186" s="8" t="str">
        <f t="shared" si="68"/>
        <v>Red</v>
      </c>
    </row>
    <row r="187" spans="1:20" ht="16" x14ac:dyDescent="0.2">
      <c r="A187" s="14">
        <v>45803</v>
      </c>
      <c r="B187" s="8" t="str">
        <f t="shared" si="60"/>
        <v>Quarter2</v>
      </c>
      <c r="C187" s="8" t="s">
        <v>1040</v>
      </c>
      <c r="D187" s="8" t="str">
        <f t="shared" si="61"/>
        <v>AMD</v>
      </c>
      <c r="E187" s="8" t="s">
        <v>122</v>
      </c>
      <c r="F187" s="8" t="s">
        <v>269</v>
      </c>
      <c r="G187" s="8" t="s">
        <v>27</v>
      </c>
      <c r="H187" s="8" t="str">
        <f t="shared" si="62"/>
        <v>Approach</v>
      </c>
      <c r="I187" s="8" t="s">
        <v>157</v>
      </c>
      <c r="J187" s="8" t="s">
        <v>1316</v>
      </c>
      <c r="K187" s="13" t="str">
        <f t="shared" si="56"/>
        <v>BHUSHAN SHAILESH SHAH | Go around</v>
      </c>
      <c r="L187" s="13" t="str">
        <f t="shared" si="57"/>
        <v>CHIRAG PRAKASH VANWARI | Go around</v>
      </c>
      <c r="M187" s="13" t="str">
        <f t="shared" si="58"/>
        <v>AMD | Go around</v>
      </c>
      <c r="N187" s="8" t="str">
        <f t="shared" si="63"/>
        <v/>
      </c>
      <c r="O187" s="8" t="str">
        <f t="shared" si="64"/>
        <v/>
      </c>
      <c r="P187" s="8" t="str">
        <f t="shared" si="65"/>
        <v/>
      </c>
      <c r="Q187" s="8" t="str">
        <f t="shared" si="69"/>
        <v/>
      </c>
      <c r="R187" s="8" t="str">
        <f t="shared" si="66"/>
        <v/>
      </c>
      <c r="S187" s="8">
        <f t="shared" si="67"/>
        <v>483</v>
      </c>
      <c r="T187" s="8" t="str">
        <f t="shared" si="68"/>
        <v>Red</v>
      </c>
    </row>
    <row r="188" spans="1:20" ht="32" x14ac:dyDescent="0.2">
      <c r="A188" s="14">
        <v>45802</v>
      </c>
      <c r="B188" s="8" t="str">
        <f t="shared" si="60"/>
        <v>Quarter2</v>
      </c>
      <c r="C188" s="8" t="s">
        <v>188</v>
      </c>
      <c r="D188" s="8" t="str">
        <f t="shared" si="61"/>
        <v>BLR</v>
      </c>
      <c r="E188" s="8" t="s">
        <v>361</v>
      </c>
      <c r="F188" s="8" t="s">
        <v>497</v>
      </c>
      <c r="G188" s="8" t="s">
        <v>180</v>
      </c>
      <c r="H188" s="8" t="str">
        <f t="shared" si="62"/>
        <v>Climb</v>
      </c>
      <c r="I188" s="8" t="s">
        <v>115</v>
      </c>
      <c r="J188" s="13" t="s">
        <v>1317</v>
      </c>
      <c r="K188" s="13" t="str">
        <f t="shared" si="56"/>
        <v>SNEHA SHEKHAWAT | Excessive Bank after Take-off (0-400 ft)</v>
      </c>
      <c r="L188" s="13" t="str">
        <f t="shared" si="57"/>
        <v>SABAREE THANGAVEL | Excessive Bank after Take-off (0-400 ft)</v>
      </c>
      <c r="M188" s="13" t="str">
        <f t="shared" si="58"/>
        <v>BLR | Excessive Bank after Take-off (0-400 ft)</v>
      </c>
      <c r="N188" s="8">
        <f t="shared" si="63"/>
        <v>1</v>
      </c>
      <c r="O188" s="8" t="str">
        <f t="shared" si="64"/>
        <v/>
      </c>
      <c r="P188" s="8">
        <f t="shared" si="65"/>
        <v>199</v>
      </c>
      <c r="Q188" s="8" t="str">
        <f t="shared" si="69"/>
        <v/>
      </c>
      <c r="R188" s="8" t="str">
        <f t="shared" si="66"/>
        <v/>
      </c>
      <c r="S188" s="8" t="str">
        <f t="shared" si="67"/>
        <v/>
      </c>
      <c r="T188" s="8" t="str">
        <f t="shared" si="68"/>
        <v>Red</v>
      </c>
    </row>
    <row r="189" spans="1:20" ht="32" x14ac:dyDescent="0.2">
      <c r="A189" s="14">
        <v>45803</v>
      </c>
      <c r="B189" s="8" t="str">
        <f t="shared" ref="B189:B206" si="70">"Quarter" &amp; INT((MONTH(A189)-1)/3)+1</f>
        <v>Quarter2</v>
      </c>
      <c r="C189" s="8" t="s">
        <v>1220</v>
      </c>
      <c r="D189" s="8" t="str">
        <f t="shared" ref="D189:D206" si="71">IF(OR(
    ISNUMBER(SEARCH("Taxi", G189)),
    ISNUMBER(SEARCH("Take-off", G189)),
    ISNUMBER(SEARCH("Climb", G189))
),
    LEFT(C189, FIND("-", C189)-1),
    RIGHT(C189, LEN(C189) - FIND("-", C189))
)</f>
        <v>DED</v>
      </c>
      <c r="E189" s="8" t="s">
        <v>1319</v>
      </c>
      <c r="F189" s="8" t="s">
        <v>189</v>
      </c>
      <c r="G189" s="8" t="s">
        <v>1320</v>
      </c>
      <c r="H189" s="8" t="str">
        <f t="shared" ref="H189:H206" si="72">IF(OR(ISNUMBER(SEARCH("Taxi", G189))), "Taxi",
 IF(OR(ISNUMBER(SEARCH("Take-off", G189)), ISNUMBER(SEARCH("Climb", G189)), ISNUMBER(SEARCH("Gear Retraction", G189)), ISNUMBER(SEARCH("Config Change", G189))), "Climb",
 IF(ISNUMBER(SEARCH("Cruise", G189)), "Cruise",
 "Approach")))</f>
        <v>Approach</v>
      </c>
      <c r="I189" s="8" t="s">
        <v>115</v>
      </c>
      <c r="J189" s="13" t="s">
        <v>1324</v>
      </c>
      <c r="K189" s="13" t="str">
        <f t="shared" si="56"/>
        <v>RUPALI PIMPLE | Unstick Speed High</v>
      </c>
      <c r="L189" s="13" t="str">
        <f t="shared" si="57"/>
        <v>SURABHI | Unstick Speed High</v>
      </c>
      <c r="M189" s="13" t="str">
        <f t="shared" si="58"/>
        <v>DED | Unstick Speed High</v>
      </c>
      <c r="N189" s="8" t="str">
        <f t="shared" ref="N189:N206" si="73">IFERROR(VALUE(MID(J189,FIND("for ",J189)+4,FIND(" sec",J189)-FIND("for ",J189)-4)),"")</f>
        <v/>
      </c>
      <c r="O189" s="8" t="str">
        <f t="shared" ref="O189:O206" si="74">IFERROR(VALUE(MID(J189,FIND("Max Deviation ",J189)+14,FIND(" at",J189)-FIND("Max Deviation ",J189)-14)),"")</f>
        <v/>
      </c>
      <c r="P189" s="8" t="str">
        <f t="shared" ref="P189:P206" si="75">IFERROR(VALUE(MID(J189,FIND("Altitude:",J189)+9,FIND(" ft",J189)-FIND("Altitude:",J189)-9)),"")</f>
        <v/>
      </c>
      <c r="Q189" s="8" t="str">
        <f t="shared" si="69"/>
        <v/>
      </c>
      <c r="R189" s="8" t="str">
        <f t="shared" ref="R189:R206" si="76">IFERROR(VALUE(MID(J189,FIND("Max ROD:",J189)+8,FIND(" fpm",J189)-FIND("Max ROD:",J189)-8)),"")</f>
        <v/>
      </c>
      <c r="S189" s="8" t="str">
        <f t="shared" ref="S189:S204" si="77">IFERROR(VALUE(MID(J189,FIND("At ",J189)+3,FIND(" ft",J189)-FIND("At ",J189)-3)),"")</f>
        <v/>
      </c>
      <c r="T189" s="8" t="str">
        <f t="shared" ref="T189:T206" si="78">IF(I189="Information","Amber","Red")</f>
        <v>Red</v>
      </c>
    </row>
    <row r="190" spans="1:20" ht="32" x14ac:dyDescent="0.2">
      <c r="A190" s="14">
        <v>45804</v>
      </c>
      <c r="B190" s="8" t="str">
        <f t="shared" si="70"/>
        <v>Quarter2</v>
      </c>
      <c r="C190" s="8" t="s">
        <v>487</v>
      </c>
      <c r="D190" s="8" t="str">
        <f t="shared" si="71"/>
        <v>DEL</v>
      </c>
      <c r="E190" s="8" t="s">
        <v>231</v>
      </c>
      <c r="F190" s="8" t="s">
        <v>1239</v>
      </c>
      <c r="G190" s="8" t="s">
        <v>1323</v>
      </c>
      <c r="H190" s="8" t="str">
        <f t="shared" si="72"/>
        <v>Climb</v>
      </c>
      <c r="I190" s="8" t="s">
        <v>203</v>
      </c>
      <c r="J190" s="8" t="s">
        <v>1326</v>
      </c>
      <c r="K190" s="13" t="str">
        <f t="shared" si="56"/>
        <v>ISHAN SHARMA. | Early Config Change After Take-off (FLAP)</v>
      </c>
      <c r="L190" s="13" t="str">
        <f t="shared" si="57"/>
        <v>PRASHAM HARICHARAN BANSAL | Early Config Change After Take-off (FLAP)</v>
      </c>
      <c r="M190" s="13" t="str">
        <f t="shared" si="58"/>
        <v>DEL | Early Config Change After Take-off (FLAP)</v>
      </c>
      <c r="N190" s="8" t="str">
        <f t="shared" si="73"/>
        <v/>
      </c>
      <c r="O190" s="8" t="str">
        <f t="shared" si="74"/>
        <v/>
      </c>
      <c r="P190" s="8" t="str">
        <f t="shared" si="75"/>
        <v/>
      </c>
      <c r="Q190" s="8" t="str">
        <f t="shared" si="69"/>
        <v/>
      </c>
      <c r="R190" s="8" t="str">
        <f t="shared" si="76"/>
        <v/>
      </c>
      <c r="S190" s="8" t="str">
        <f t="shared" si="77"/>
        <v/>
      </c>
      <c r="T190" s="8" t="str">
        <f t="shared" si="78"/>
        <v>Red</v>
      </c>
    </row>
    <row r="191" spans="1:20" ht="32" x14ac:dyDescent="0.2">
      <c r="A191" s="12">
        <v>45803</v>
      </c>
      <c r="B191" s="8" t="str">
        <f t="shared" si="70"/>
        <v>Quarter2</v>
      </c>
      <c r="C191" s="13" t="s">
        <v>1156</v>
      </c>
      <c r="D191" s="8" t="str">
        <f t="shared" si="71"/>
        <v>IXB</v>
      </c>
      <c r="E191" s="13" t="s">
        <v>1336</v>
      </c>
      <c r="F191" s="13" t="s">
        <v>1330</v>
      </c>
      <c r="G191" s="8" t="s">
        <v>778</v>
      </c>
      <c r="H191" s="8" t="str">
        <f t="shared" si="72"/>
        <v>Approach</v>
      </c>
      <c r="I191" s="8" t="s">
        <v>115</v>
      </c>
      <c r="J191" s="13" t="s">
        <v>1333</v>
      </c>
      <c r="K191" s="13" t="str">
        <f t="shared" si="56"/>
        <v>ASHISH MAHESHKUMAR MAYANI | MAX EGT/ITT (Continuous) #2</v>
      </c>
      <c r="L191" s="13" t="str">
        <f t="shared" si="57"/>
        <v>NAVIN NARSINGHRAO SABUNKAR | MAX EGT/ITT (Continuous) #2</v>
      </c>
      <c r="M191" s="13" t="str">
        <f t="shared" si="58"/>
        <v>IXB | MAX EGT/ITT (Continuous) #2</v>
      </c>
      <c r="N191" s="8">
        <f t="shared" si="73"/>
        <v>38</v>
      </c>
      <c r="O191" s="8" t="str">
        <f t="shared" si="74"/>
        <v/>
      </c>
      <c r="P191" s="8" t="str">
        <f t="shared" si="75"/>
        <v/>
      </c>
      <c r="Q191" s="8" t="str">
        <f t="shared" si="69"/>
        <v/>
      </c>
      <c r="R191" s="8" t="str">
        <f t="shared" si="76"/>
        <v/>
      </c>
      <c r="S191" s="8" t="str">
        <f t="shared" si="77"/>
        <v/>
      </c>
      <c r="T191" s="8" t="str">
        <f t="shared" si="78"/>
        <v>Red</v>
      </c>
    </row>
    <row r="192" spans="1:20" ht="32" x14ac:dyDescent="0.2">
      <c r="A192" s="14">
        <v>45805</v>
      </c>
      <c r="B192" s="8" t="str">
        <f t="shared" si="70"/>
        <v>Quarter2</v>
      </c>
      <c r="C192" s="8" t="s">
        <v>1338</v>
      </c>
      <c r="D192" s="8" t="str">
        <f t="shared" si="71"/>
        <v>AMD</v>
      </c>
      <c r="E192" s="8" t="s">
        <v>511</v>
      </c>
      <c r="F192" s="8" t="s">
        <v>664</v>
      </c>
      <c r="G192" s="8" t="s">
        <v>180</v>
      </c>
      <c r="H192" s="8" t="str">
        <f t="shared" si="72"/>
        <v>Climb</v>
      </c>
      <c r="I192" s="8" t="s">
        <v>115</v>
      </c>
      <c r="J192" s="13" t="s">
        <v>1339</v>
      </c>
      <c r="K192" s="13" t="str">
        <f t="shared" si="56"/>
        <v>MANABENDRA DEKA | Excessive Bank after Take-off (0-400 ft)</v>
      </c>
      <c r="L192" s="13" t="str">
        <f t="shared" si="57"/>
        <v>ROHIT PANDEY | Excessive Bank after Take-off (0-400 ft)</v>
      </c>
      <c r="M192" s="13" t="str">
        <f t="shared" si="58"/>
        <v>AMD | Excessive Bank after Take-off (0-400 ft)</v>
      </c>
      <c r="N192" s="8">
        <f t="shared" si="73"/>
        <v>1</v>
      </c>
      <c r="O192" s="8" t="str">
        <f t="shared" si="74"/>
        <v/>
      </c>
      <c r="P192" s="8">
        <f t="shared" si="75"/>
        <v>339</v>
      </c>
      <c r="Q192" s="8" t="str">
        <f t="shared" si="69"/>
        <v/>
      </c>
      <c r="R192" s="8" t="str">
        <f t="shared" si="76"/>
        <v/>
      </c>
      <c r="S192" s="8" t="str">
        <f t="shared" si="77"/>
        <v/>
      </c>
      <c r="T192" s="8" t="str">
        <f t="shared" si="78"/>
        <v>Red</v>
      </c>
    </row>
    <row r="193" spans="1:20" ht="32" x14ac:dyDescent="0.2">
      <c r="A193" s="14">
        <v>45806</v>
      </c>
      <c r="B193" s="8" t="str">
        <f t="shared" si="70"/>
        <v>Quarter2</v>
      </c>
      <c r="C193" s="8" t="s">
        <v>165</v>
      </c>
      <c r="D193" s="8" t="str">
        <f t="shared" si="71"/>
        <v>PAT</v>
      </c>
      <c r="E193" s="8" t="s">
        <v>312</v>
      </c>
      <c r="F193" s="8" t="s">
        <v>476</v>
      </c>
      <c r="G193" s="8" t="s">
        <v>289</v>
      </c>
      <c r="H193" s="8" t="str">
        <f t="shared" si="72"/>
        <v>Approach</v>
      </c>
      <c r="I193" s="8" t="s">
        <v>115</v>
      </c>
      <c r="J193" s="13" t="s">
        <v>1342</v>
      </c>
      <c r="K193" s="13" t="str">
        <f t="shared" si="56"/>
        <v>ASHISH JAYASWAL | Pitch Attitude Low at Landing</v>
      </c>
      <c r="L193" s="13" t="str">
        <f t="shared" si="57"/>
        <v>ANSHU SHARMA | Pitch Attitude Low at Landing</v>
      </c>
      <c r="M193" s="13" t="str">
        <f t="shared" si="58"/>
        <v>PAT | Pitch Attitude Low at Landing</v>
      </c>
      <c r="N193" s="8" t="str">
        <f t="shared" si="73"/>
        <v/>
      </c>
      <c r="O193" s="8" t="str">
        <f t="shared" si="74"/>
        <v/>
      </c>
      <c r="P193" s="8" t="str">
        <f t="shared" si="75"/>
        <v/>
      </c>
      <c r="Q193" s="8" t="str">
        <f t="shared" si="69"/>
        <v/>
      </c>
      <c r="R193" s="8" t="str">
        <f t="shared" si="76"/>
        <v/>
      </c>
      <c r="S193" s="8" t="str">
        <f t="shared" si="77"/>
        <v/>
      </c>
      <c r="T193" s="8" t="str">
        <f t="shared" si="78"/>
        <v>Red</v>
      </c>
    </row>
    <row r="194" spans="1:20" ht="16" x14ac:dyDescent="0.2">
      <c r="A194" s="14">
        <v>45806</v>
      </c>
      <c r="B194" s="8" t="str">
        <f t="shared" si="70"/>
        <v>Quarter2</v>
      </c>
      <c r="C194" s="8" t="s">
        <v>592</v>
      </c>
      <c r="D194" s="8" t="str">
        <f t="shared" si="71"/>
        <v>PAT</v>
      </c>
      <c r="E194" s="13" t="s">
        <v>222</v>
      </c>
      <c r="F194" s="13" t="s">
        <v>1174</v>
      </c>
      <c r="G194" s="8" t="s">
        <v>27</v>
      </c>
      <c r="H194" s="8" t="str">
        <f t="shared" si="72"/>
        <v>Approach</v>
      </c>
      <c r="I194" s="8" t="s">
        <v>157</v>
      </c>
      <c r="J194" s="8" t="s">
        <v>1347</v>
      </c>
      <c r="K194" s="13" t="str">
        <f t="shared" si="56"/>
        <v>RASHMI SHARMA | Go around</v>
      </c>
      <c r="L194" s="13" t="str">
        <f t="shared" si="57"/>
        <v>SHIRIN ABDUL HAMEED PASHA | Go around</v>
      </c>
      <c r="M194" s="13" t="str">
        <f t="shared" si="58"/>
        <v>PAT | Go around</v>
      </c>
      <c r="N194" s="8" t="str">
        <f t="shared" si="73"/>
        <v/>
      </c>
      <c r="O194" s="8" t="str">
        <f t="shared" si="74"/>
        <v/>
      </c>
      <c r="P194" s="8" t="str">
        <f t="shared" si="75"/>
        <v/>
      </c>
      <c r="Q194" s="8" t="str">
        <f t="shared" si="69"/>
        <v/>
      </c>
      <c r="R194" s="8" t="str">
        <f t="shared" si="76"/>
        <v/>
      </c>
      <c r="S194" s="8">
        <f t="shared" si="77"/>
        <v>760</v>
      </c>
      <c r="T194" s="8" t="str">
        <f t="shared" si="78"/>
        <v>Red</v>
      </c>
    </row>
    <row r="195" spans="1:20" ht="32" x14ac:dyDescent="0.2">
      <c r="A195" s="14">
        <v>45807</v>
      </c>
      <c r="B195" s="8" t="str">
        <f t="shared" si="70"/>
        <v>Quarter2</v>
      </c>
      <c r="C195" s="8" t="s">
        <v>1242</v>
      </c>
      <c r="D195" s="8" t="str">
        <f t="shared" si="71"/>
        <v>BOM</v>
      </c>
      <c r="E195" s="8" t="s">
        <v>593</v>
      </c>
      <c r="F195" s="8" t="s">
        <v>1330</v>
      </c>
      <c r="G195" s="8" t="s">
        <v>529</v>
      </c>
      <c r="H195" s="8" t="str">
        <f t="shared" si="72"/>
        <v>Approach</v>
      </c>
      <c r="I195" s="8" t="s">
        <v>115</v>
      </c>
      <c r="J195" s="13" t="s">
        <v>1353</v>
      </c>
      <c r="K195" s="13" t="str">
        <f t="shared" ref="K195:K206" si="79">E195 &amp; " | " &amp; G195</f>
        <v>CHARAN SINGH CHOUDHARY | Approach Speed High (500-50 ft)</v>
      </c>
      <c r="L195" s="13" t="str">
        <f t="shared" ref="L195:L206" si="80">F195 &amp; " | " &amp; G195</f>
        <v>NAVIN NARSINGHRAO SABUNKAR | Approach Speed High (500-50 ft)</v>
      </c>
      <c r="M195" s="13" t="str">
        <f t="shared" ref="M195:M206" si="81">D195 &amp; " | " &amp; G195</f>
        <v>BOM | Approach Speed High (500-50 ft)</v>
      </c>
      <c r="N195" s="8">
        <f t="shared" si="73"/>
        <v>8</v>
      </c>
      <c r="O195" s="8" t="str">
        <f t="shared" si="74"/>
        <v/>
      </c>
      <c r="P195" s="8">
        <f t="shared" si="75"/>
        <v>80</v>
      </c>
      <c r="Q195" s="8">
        <f t="shared" si="69"/>
        <v>155.19999999999999</v>
      </c>
      <c r="R195" s="8" t="str">
        <f t="shared" si="76"/>
        <v/>
      </c>
      <c r="S195" s="8" t="str">
        <f t="shared" si="77"/>
        <v/>
      </c>
      <c r="T195" s="8" t="str">
        <f t="shared" si="78"/>
        <v>Red</v>
      </c>
    </row>
    <row r="196" spans="1:20" ht="32" x14ac:dyDescent="0.2">
      <c r="A196" s="14">
        <v>45807</v>
      </c>
      <c r="B196" s="8" t="str">
        <f t="shared" si="70"/>
        <v>Quarter2</v>
      </c>
      <c r="C196" s="8" t="s">
        <v>1242</v>
      </c>
      <c r="D196" s="8" t="str">
        <f t="shared" si="71"/>
        <v>BOM</v>
      </c>
      <c r="E196" s="8" t="s">
        <v>593</v>
      </c>
      <c r="F196" s="8" t="s">
        <v>1330</v>
      </c>
      <c r="G196" s="8" t="s">
        <v>136</v>
      </c>
      <c r="H196" s="8" t="str">
        <f t="shared" si="72"/>
        <v>Approach</v>
      </c>
      <c r="I196" s="8" t="s">
        <v>115</v>
      </c>
      <c r="J196" s="13" t="s">
        <v>1354</v>
      </c>
      <c r="K196" s="13" t="str">
        <f t="shared" si="79"/>
        <v>CHARAN SINGH CHOUDHARY | Approach Speed High (&lt;50 ft)</v>
      </c>
      <c r="L196" s="13" t="str">
        <f t="shared" si="80"/>
        <v>NAVIN NARSINGHRAO SABUNKAR | Approach Speed High (&lt;50 ft)</v>
      </c>
      <c r="M196" s="13" t="str">
        <f t="shared" si="81"/>
        <v>BOM | Approach Speed High (&lt;50 ft)</v>
      </c>
      <c r="N196" s="8">
        <f t="shared" si="73"/>
        <v>4</v>
      </c>
      <c r="O196" s="8" t="str">
        <f t="shared" si="74"/>
        <v/>
      </c>
      <c r="P196" s="8">
        <f t="shared" si="75"/>
        <v>44</v>
      </c>
      <c r="Q196" s="8" t="str">
        <f t="shared" si="69"/>
        <v/>
      </c>
      <c r="R196" s="8" t="str">
        <f t="shared" si="76"/>
        <v/>
      </c>
      <c r="S196" s="8" t="str">
        <f t="shared" si="77"/>
        <v/>
      </c>
      <c r="T196" s="8" t="str">
        <f t="shared" si="78"/>
        <v>Red</v>
      </c>
    </row>
    <row r="197" spans="1:20" ht="32" x14ac:dyDescent="0.2">
      <c r="A197" s="14">
        <v>45807</v>
      </c>
      <c r="B197" s="8" t="str">
        <f t="shared" si="70"/>
        <v>Quarter2</v>
      </c>
      <c r="C197" s="8" t="s">
        <v>35</v>
      </c>
      <c r="D197" s="8" t="str">
        <f t="shared" si="71"/>
        <v>BOM</v>
      </c>
      <c r="E197" s="8" t="s">
        <v>432</v>
      </c>
      <c r="F197" s="8" t="s">
        <v>386</v>
      </c>
      <c r="G197" s="8" t="s">
        <v>39</v>
      </c>
      <c r="H197" s="8" t="str">
        <f t="shared" si="72"/>
        <v>Approach</v>
      </c>
      <c r="I197" s="8" t="s">
        <v>115</v>
      </c>
      <c r="J197" s="13" t="s">
        <v>1355</v>
      </c>
      <c r="K197" s="13" t="str">
        <f t="shared" si="79"/>
        <v>SHAKTI SATYAKUMAR KAUSHAL | Deviation Below Glideslope (&lt;1000 ft)</v>
      </c>
      <c r="L197" s="13" t="str">
        <f t="shared" si="80"/>
        <v>ANTARA PURI | Deviation Below Glideslope (&lt;1000 ft)</v>
      </c>
      <c r="M197" s="13" t="str">
        <f t="shared" si="81"/>
        <v>BOM | Deviation Below Glideslope (&lt;1000 ft)</v>
      </c>
      <c r="N197" s="8">
        <f t="shared" si="73"/>
        <v>4</v>
      </c>
      <c r="O197" s="8">
        <f t="shared" si="74"/>
        <v>1.1200000000000001</v>
      </c>
      <c r="P197" s="8" t="str">
        <f t="shared" si="75"/>
        <v/>
      </c>
      <c r="Q197" s="8" t="str">
        <f t="shared" si="69"/>
        <v/>
      </c>
      <c r="R197" s="8" t="str">
        <f t="shared" si="76"/>
        <v/>
      </c>
      <c r="S197" s="8" t="str">
        <f t="shared" si="77"/>
        <v/>
      </c>
      <c r="T197" s="8" t="str">
        <f t="shared" si="78"/>
        <v>Red</v>
      </c>
    </row>
    <row r="198" spans="1:20" ht="16" x14ac:dyDescent="0.2">
      <c r="A198" s="14">
        <v>45812</v>
      </c>
      <c r="B198" s="8" t="str">
        <f t="shared" si="70"/>
        <v>Quarter2</v>
      </c>
      <c r="C198" s="8" t="s">
        <v>1300</v>
      </c>
      <c r="D198" s="8" t="str">
        <f t="shared" si="71"/>
        <v>DEL</v>
      </c>
      <c r="E198" s="8" t="s">
        <v>46</v>
      </c>
      <c r="F198" s="8" t="s">
        <v>301</v>
      </c>
      <c r="G198" s="8" t="s">
        <v>344</v>
      </c>
      <c r="H198" s="8" t="str">
        <f t="shared" si="72"/>
        <v>Approach</v>
      </c>
      <c r="I198" s="8" t="s">
        <v>157</v>
      </c>
      <c r="J198" s="13" t="s">
        <v>1373</v>
      </c>
      <c r="K198" s="13" t="str">
        <f t="shared" si="79"/>
        <v>SANJEEV KUMAR | Go around 1st</v>
      </c>
      <c r="L198" s="13" t="str">
        <f t="shared" si="80"/>
        <v>SAHIL SHARMA | Go around 1st</v>
      </c>
      <c r="M198" s="13" t="str">
        <f t="shared" si="81"/>
        <v>DEL | Go around 1st</v>
      </c>
      <c r="N198" s="8" t="str">
        <f t="shared" si="73"/>
        <v/>
      </c>
      <c r="O198" s="8" t="str">
        <f t="shared" si="74"/>
        <v/>
      </c>
      <c r="P198" s="8" t="str">
        <f t="shared" si="75"/>
        <v/>
      </c>
      <c r="Q198" s="8" t="str">
        <f t="shared" si="69"/>
        <v/>
      </c>
      <c r="R198" s="8" t="str">
        <f t="shared" si="76"/>
        <v/>
      </c>
      <c r="S198" s="8">
        <f t="shared" si="77"/>
        <v>157</v>
      </c>
      <c r="T198" s="8" t="str">
        <f t="shared" si="78"/>
        <v>Red</v>
      </c>
    </row>
    <row r="199" spans="1:20" ht="16" x14ac:dyDescent="0.2">
      <c r="A199" s="14">
        <v>45812</v>
      </c>
      <c r="B199" s="8" t="str">
        <f t="shared" si="70"/>
        <v>Quarter2</v>
      </c>
      <c r="C199" s="8" t="s">
        <v>1300</v>
      </c>
      <c r="D199" s="8" t="str">
        <f t="shared" si="71"/>
        <v>DEL</v>
      </c>
      <c r="E199" s="8" t="s">
        <v>46</v>
      </c>
      <c r="F199" s="8" t="s">
        <v>301</v>
      </c>
      <c r="G199" s="8" t="s">
        <v>345</v>
      </c>
      <c r="H199" s="8" t="str">
        <f t="shared" si="72"/>
        <v>Approach</v>
      </c>
      <c r="I199" s="8" t="s">
        <v>157</v>
      </c>
      <c r="J199" s="13" t="s">
        <v>1374</v>
      </c>
      <c r="K199" s="13" t="str">
        <f t="shared" si="79"/>
        <v>SANJEEV KUMAR | Go around 2nd</v>
      </c>
      <c r="L199" s="13" t="str">
        <f t="shared" si="80"/>
        <v>SAHIL SHARMA | Go around 2nd</v>
      </c>
      <c r="M199" s="13" t="str">
        <f t="shared" si="81"/>
        <v>DEL | Go around 2nd</v>
      </c>
      <c r="N199" s="8" t="str">
        <f t="shared" si="73"/>
        <v/>
      </c>
      <c r="O199" s="8" t="str">
        <f t="shared" si="74"/>
        <v/>
      </c>
      <c r="P199" s="8" t="str">
        <f t="shared" si="75"/>
        <v/>
      </c>
      <c r="Q199" s="8" t="str">
        <f t="shared" si="69"/>
        <v/>
      </c>
      <c r="R199" s="8" t="str">
        <f t="shared" si="76"/>
        <v/>
      </c>
      <c r="S199" s="8">
        <f t="shared" si="77"/>
        <v>200</v>
      </c>
      <c r="T199" s="8" t="str">
        <f t="shared" si="78"/>
        <v>Red</v>
      </c>
    </row>
    <row r="200" spans="1:20" ht="32" x14ac:dyDescent="0.2">
      <c r="A200" s="14">
        <v>45813</v>
      </c>
      <c r="B200" s="8" t="str">
        <f t="shared" si="70"/>
        <v>Quarter2</v>
      </c>
      <c r="C200" s="8" t="s">
        <v>1214</v>
      </c>
      <c r="D200" s="8" t="str">
        <f t="shared" si="71"/>
        <v>KTM</v>
      </c>
      <c r="E200" s="8" t="s">
        <v>764</v>
      </c>
      <c r="F200" s="8" t="s">
        <v>386</v>
      </c>
      <c r="G200" s="8" t="s">
        <v>24</v>
      </c>
      <c r="H200" s="8" t="str">
        <f t="shared" si="72"/>
        <v>Approach</v>
      </c>
      <c r="I200" s="8" t="s">
        <v>115</v>
      </c>
      <c r="J200" s="13" t="s">
        <v>1376</v>
      </c>
      <c r="K200" s="13" t="str">
        <f t="shared" si="79"/>
        <v>RAHUL SHARMA. | High Rate of Descent (500-100 ft)</v>
      </c>
      <c r="L200" s="13" t="str">
        <f t="shared" si="80"/>
        <v>ANTARA PURI | High Rate of Descent (500-100 ft)</v>
      </c>
      <c r="M200" s="13" t="str">
        <f t="shared" si="81"/>
        <v>KTM | High Rate of Descent (500-100 ft)</v>
      </c>
      <c r="N200" s="8">
        <f t="shared" si="73"/>
        <v>5</v>
      </c>
      <c r="O200" s="8" t="str">
        <f t="shared" si="74"/>
        <v/>
      </c>
      <c r="P200" s="8">
        <f t="shared" si="75"/>
        <v>4800</v>
      </c>
      <c r="Q200" s="8" t="str">
        <f t="shared" si="69"/>
        <v/>
      </c>
      <c r="R200" s="8">
        <f t="shared" si="76"/>
        <v>1360</v>
      </c>
      <c r="S200" s="8" t="str">
        <f t="shared" si="77"/>
        <v/>
      </c>
      <c r="T200" s="8" t="str">
        <f t="shared" si="78"/>
        <v>Red</v>
      </c>
    </row>
    <row r="201" spans="1:20" ht="16" x14ac:dyDescent="0.2">
      <c r="A201" s="14">
        <v>45813</v>
      </c>
      <c r="B201" s="8" t="str">
        <f t="shared" si="70"/>
        <v>Quarter2</v>
      </c>
      <c r="C201" s="8" t="s">
        <v>146</v>
      </c>
      <c r="D201" s="8" t="str">
        <f t="shared" si="71"/>
        <v>PNQ</v>
      </c>
      <c r="E201" s="59" t="s">
        <v>1381</v>
      </c>
      <c r="F201" s="39" t="s">
        <v>1382</v>
      </c>
      <c r="G201" s="13" t="s">
        <v>78</v>
      </c>
      <c r="H201" s="8" t="str">
        <f t="shared" si="72"/>
        <v>Approach</v>
      </c>
      <c r="I201" s="8" t="s">
        <v>203</v>
      </c>
      <c r="J201" s="13" t="s">
        <v>1377</v>
      </c>
      <c r="K201" s="13" t="str">
        <f t="shared" si="79"/>
        <v>Olym Roy | High Vertical Acceleration (Landing)</v>
      </c>
      <c r="L201" s="13" t="str">
        <f t="shared" si="80"/>
        <v>Shraddha Sharma | High Vertical Acceleration (Landing)</v>
      </c>
      <c r="M201" s="13" t="str">
        <f t="shared" si="81"/>
        <v>PNQ | High Vertical Acceleration (Landing)</v>
      </c>
      <c r="N201" s="8" t="str">
        <f t="shared" si="73"/>
        <v/>
      </c>
      <c r="O201" s="8" t="str">
        <f t="shared" si="74"/>
        <v/>
      </c>
      <c r="P201" s="8" t="str">
        <f t="shared" si="75"/>
        <v/>
      </c>
      <c r="Q201" s="8" t="str">
        <f t="shared" si="69"/>
        <v/>
      </c>
      <c r="R201" s="8" t="str">
        <f t="shared" si="76"/>
        <v/>
      </c>
      <c r="S201" s="8" t="str">
        <f t="shared" si="77"/>
        <v/>
      </c>
      <c r="T201" s="8" t="str">
        <f t="shared" si="78"/>
        <v>Red</v>
      </c>
    </row>
    <row r="202" spans="1:20" ht="32" x14ac:dyDescent="0.2">
      <c r="A202" s="61">
        <v>45814</v>
      </c>
      <c r="B202" s="8" t="str">
        <f t="shared" si="70"/>
        <v>Quarter2</v>
      </c>
      <c r="C202" s="60" t="s">
        <v>1386</v>
      </c>
      <c r="D202" s="8" t="str">
        <f t="shared" si="71"/>
        <v>DXB</v>
      </c>
      <c r="E202" s="60" t="s">
        <v>194</v>
      </c>
      <c r="F202" s="60" t="s">
        <v>926</v>
      </c>
      <c r="G202" s="60" t="s">
        <v>1387</v>
      </c>
      <c r="H202" s="8" t="str">
        <f t="shared" si="72"/>
        <v>Climb</v>
      </c>
      <c r="I202" s="60" t="s">
        <v>115</v>
      </c>
      <c r="J202" s="42" t="s">
        <v>1390</v>
      </c>
      <c r="K202" s="13" t="str">
        <f t="shared" si="79"/>
        <v>MAHENDRA KUVARJI CHHEDA | Climb Out Speed Low (400 ft - 800 ft)</v>
      </c>
      <c r="L202" s="13" t="str">
        <f t="shared" si="80"/>
        <v>KARAN PRATAP SINGH VIRK | Climb Out Speed Low (400 ft - 800 ft)</v>
      </c>
      <c r="M202" s="13" t="str">
        <f t="shared" si="81"/>
        <v>DXB | Climb Out Speed Low (400 ft - 800 ft)</v>
      </c>
      <c r="N202" s="8">
        <f t="shared" si="73"/>
        <v>12</v>
      </c>
      <c r="O202" s="8" t="str">
        <f t="shared" si="74"/>
        <v/>
      </c>
      <c r="P202" s="8" t="str">
        <f t="shared" si="75"/>
        <v/>
      </c>
      <c r="Q202" s="8" t="str">
        <f t="shared" si="69"/>
        <v/>
      </c>
      <c r="R202" s="8" t="str">
        <f t="shared" si="76"/>
        <v/>
      </c>
      <c r="S202" s="8" t="str">
        <f t="shared" si="77"/>
        <v/>
      </c>
      <c r="T202" s="8" t="str">
        <f t="shared" si="78"/>
        <v>Red</v>
      </c>
    </row>
    <row r="203" spans="1:20" ht="32" x14ac:dyDescent="0.2">
      <c r="A203" s="64">
        <v>45814</v>
      </c>
      <c r="B203" s="8" t="str">
        <f t="shared" si="70"/>
        <v>Quarter2</v>
      </c>
      <c r="C203" s="40" t="s">
        <v>1398</v>
      </c>
      <c r="D203" s="8" t="str">
        <f t="shared" si="71"/>
        <v>AMD</v>
      </c>
      <c r="E203" s="40" t="s">
        <v>667</v>
      </c>
      <c r="F203" s="40" t="s">
        <v>1399</v>
      </c>
      <c r="G203" s="40" t="s">
        <v>1400</v>
      </c>
      <c r="H203" s="8" t="str">
        <f t="shared" si="72"/>
        <v>Climb</v>
      </c>
      <c r="I203" s="40" t="s">
        <v>115</v>
      </c>
      <c r="J203" s="65" t="s">
        <v>1410</v>
      </c>
      <c r="K203" s="13" t="str">
        <f t="shared" si="79"/>
        <v>ARUN VASHIST | Climb Out Speed Low (&lt;35 ft)</v>
      </c>
      <c r="L203" s="13" t="str">
        <f t="shared" si="80"/>
        <v>ASHISH DAGAR | Climb Out Speed Low (&lt;35 ft)</v>
      </c>
      <c r="M203" s="13" t="str">
        <f t="shared" si="81"/>
        <v>AMD | Climb Out Speed Low (&lt;35 ft)</v>
      </c>
      <c r="N203" s="8">
        <f t="shared" si="73"/>
        <v>9</v>
      </c>
      <c r="O203" s="8" t="str">
        <f t="shared" si="74"/>
        <v/>
      </c>
      <c r="P203" s="8" t="str">
        <f t="shared" si="75"/>
        <v/>
      </c>
      <c r="Q203" s="8" t="str">
        <f t="shared" si="69"/>
        <v/>
      </c>
      <c r="R203" s="8" t="str">
        <f t="shared" si="76"/>
        <v/>
      </c>
      <c r="S203" s="8" t="str">
        <f t="shared" si="77"/>
        <v/>
      </c>
      <c r="T203" s="8" t="str">
        <f t="shared" si="78"/>
        <v>Red</v>
      </c>
    </row>
    <row r="204" spans="1:20" ht="32" x14ac:dyDescent="0.2">
      <c r="A204" s="64">
        <v>45814</v>
      </c>
      <c r="B204" s="8" t="str">
        <f t="shared" si="70"/>
        <v>Quarter2</v>
      </c>
      <c r="C204" s="40" t="s">
        <v>1398</v>
      </c>
      <c r="D204" s="8" t="str">
        <f t="shared" si="71"/>
        <v>AMD</v>
      </c>
      <c r="E204" s="40" t="s">
        <v>667</v>
      </c>
      <c r="F204" s="40" t="s">
        <v>1403</v>
      </c>
      <c r="G204" s="40" t="s">
        <v>1400</v>
      </c>
      <c r="H204" s="8" t="str">
        <f t="shared" si="72"/>
        <v>Climb</v>
      </c>
      <c r="I204" s="40" t="s">
        <v>115</v>
      </c>
      <c r="J204" s="65" t="s">
        <v>1411</v>
      </c>
      <c r="K204" s="13" t="str">
        <f t="shared" si="79"/>
        <v>ARUN VASHIST | Climb Out Speed Low (&lt;35 ft)</v>
      </c>
      <c r="L204" s="13" t="str">
        <f t="shared" si="80"/>
        <v>SHREENATH RAJU NAIR | Climb Out Speed Low (&lt;35 ft)</v>
      </c>
      <c r="M204" s="13" t="str">
        <f t="shared" si="81"/>
        <v>AMD | Climb Out Speed Low (&lt;35 ft)</v>
      </c>
      <c r="N204" s="8">
        <f t="shared" si="73"/>
        <v>10</v>
      </c>
      <c r="O204" s="8" t="str">
        <f t="shared" si="74"/>
        <v/>
      </c>
      <c r="P204" s="8" t="str">
        <f t="shared" si="75"/>
        <v/>
      </c>
      <c r="Q204" s="8" t="str">
        <f t="shared" si="69"/>
        <v/>
      </c>
      <c r="R204" s="8" t="str">
        <f t="shared" si="76"/>
        <v/>
      </c>
      <c r="S204" s="8" t="str">
        <f t="shared" si="77"/>
        <v/>
      </c>
      <c r="T204" s="8" t="str">
        <f t="shared" si="78"/>
        <v>Red</v>
      </c>
    </row>
    <row r="205" spans="1:20" ht="16" x14ac:dyDescent="0.2">
      <c r="A205" s="67">
        <v>45816</v>
      </c>
      <c r="B205" s="8" t="str">
        <f t="shared" si="70"/>
        <v>Quarter2</v>
      </c>
      <c r="C205" s="36" t="s">
        <v>1417</v>
      </c>
      <c r="D205" s="8" t="str">
        <f t="shared" si="71"/>
        <v>DEL</v>
      </c>
      <c r="E205" s="36" t="s">
        <v>714</v>
      </c>
      <c r="F205" s="36" t="s">
        <v>507</v>
      </c>
      <c r="G205" s="36" t="s">
        <v>27</v>
      </c>
      <c r="H205" s="8" t="str">
        <f t="shared" si="72"/>
        <v>Approach</v>
      </c>
      <c r="I205" s="8" t="s">
        <v>157</v>
      </c>
      <c r="J205" s="8" t="s">
        <v>1421</v>
      </c>
      <c r="K205" s="13" t="str">
        <f t="shared" si="79"/>
        <v>NILESH KUMAR NONHARE | Go around</v>
      </c>
      <c r="L205" s="13" t="str">
        <f t="shared" si="80"/>
        <v>AKASH SANDHU | Go around</v>
      </c>
      <c r="M205" s="13" t="str">
        <f t="shared" si="81"/>
        <v>DEL | Go around</v>
      </c>
      <c r="N205" s="8" t="str">
        <f t="shared" si="73"/>
        <v/>
      </c>
      <c r="O205" s="8" t="str">
        <f t="shared" si="74"/>
        <v/>
      </c>
      <c r="P205" s="8" t="str">
        <f t="shared" si="75"/>
        <v/>
      </c>
      <c r="Q205" s="8" t="str">
        <f t="shared" ref="Q205:Q206" si="82">IFERROR(VALUE(MID(J205,FIND("Max CAS:",J205)+8,FIND(" kts",J205)-FIND("Max CAS:",J205)-8)),"")</f>
        <v/>
      </c>
      <c r="R205" s="8" t="str">
        <f t="shared" si="76"/>
        <v/>
      </c>
      <c r="S205" s="8"/>
      <c r="T205" s="8" t="str">
        <f t="shared" si="78"/>
        <v>Red</v>
      </c>
    </row>
    <row r="206" spans="1:20" ht="32" x14ac:dyDescent="0.2">
      <c r="A206" s="14">
        <v>45817</v>
      </c>
      <c r="B206" s="8" t="str">
        <f t="shared" si="70"/>
        <v>Quarter2</v>
      </c>
      <c r="C206" s="8" t="s">
        <v>592</v>
      </c>
      <c r="D206" s="8" t="str">
        <f t="shared" si="71"/>
        <v>BOM</v>
      </c>
      <c r="E206" s="8" t="s">
        <v>1336</v>
      </c>
      <c r="F206" s="8" t="s">
        <v>679</v>
      </c>
      <c r="G206" s="8" t="s">
        <v>71</v>
      </c>
      <c r="H206" s="8" t="str">
        <f t="shared" si="72"/>
        <v>Climb</v>
      </c>
      <c r="I206" s="8" t="s">
        <v>203</v>
      </c>
      <c r="J206" s="13" t="s">
        <v>1414</v>
      </c>
      <c r="K206" s="13" t="str">
        <f t="shared" si="79"/>
        <v>ASHISH MAHESHKUMAR MAYANI | Excessive Bank after Take-off (&gt;400 ft)</v>
      </c>
      <c r="L206" s="13" t="str">
        <f t="shared" si="80"/>
        <v>DIVYANG BAJPAI | Excessive Bank after Take-off (&gt;400 ft)</v>
      </c>
      <c r="M206" s="13" t="str">
        <f t="shared" si="81"/>
        <v>BOM | Excessive Bank after Take-off (&gt;400 ft)</v>
      </c>
      <c r="N206" s="8">
        <f t="shared" si="73"/>
        <v>1</v>
      </c>
      <c r="O206" s="8" t="str">
        <f t="shared" si="74"/>
        <v/>
      </c>
      <c r="P206" s="8">
        <f t="shared" si="75"/>
        <v>4165</v>
      </c>
      <c r="Q206" s="8" t="str">
        <f t="shared" si="82"/>
        <v/>
      </c>
      <c r="R206" s="8" t="str">
        <f t="shared" si="76"/>
        <v/>
      </c>
      <c r="S206" s="8"/>
      <c r="T206" s="8" t="str">
        <f t="shared" si="78"/>
        <v>Red</v>
      </c>
    </row>
    <row r="207" spans="1:20" x14ac:dyDescent="0.2">
      <c r="A207" s="70"/>
      <c r="B207" s="70"/>
      <c r="C207" s="70"/>
      <c r="D207" s="70"/>
      <c r="E207" s="70"/>
      <c r="F207" s="70"/>
      <c r="G207" s="70"/>
      <c r="H207" s="70"/>
      <c r="I207" s="70"/>
      <c r="J207" s="80"/>
    </row>
    <row r="209" spans="10:13" x14ac:dyDescent="0.2">
      <c r="J209" s="26"/>
      <c r="K209" s="76"/>
      <c r="L209" s="76"/>
      <c r="M209" s="76"/>
    </row>
    <row r="238" spans="10:13" x14ac:dyDescent="0.2">
      <c r="J238" s="22"/>
      <c r="K238" s="75"/>
      <c r="L238" s="75"/>
      <c r="M238" s="75"/>
    </row>
    <row r="243" spans="10:13" x14ac:dyDescent="0.2">
      <c r="J243" s="22"/>
      <c r="K243" s="75"/>
      <c r="L243" s="75"/>
      <c r="M243" s="75"/>
    </row>
    <row r="244" spans="10:13" x14ac:dyDescent="0.2">
      <c r="J244" s="22"/>
      <c r="K244" s="75"/>
      <c r="L244" s="75"/>
      <c r="M244" s="75"/>
    </row>
    <row r="264" spans="5:13" x14ac:dyDescent="0.2">
      <c r="E264" s="13"/>
      <c r="F264" s="13"/>
    </row>
    <row r="267" spans="5:13" x14ac:dyDescent="0.2">
      <c r="J267" s="26"/>
      <c r="K267" s="76"/>
      <c r="L267" s="76"/>
      <c r="M267" s="76"/>
    </row>
    <row r="288" spans="5:5" x14ac:dyDescent="0.2">
      <c r="E288" s="71"/>
    </row>
    <row r="289" spans="5:5" x14ac:dyDescent="0.2">
      <c r="E289" s="72"/>
    </row>
    <row r="290" spans="5:5" x14ac:dyDescent="0.2">
      <c r="E290" s="73"/>
    </row>
    <row r="291" spans="5:5" x14ac:dyDescent="0.2">
      <c r="E291" s="72"/>
    </row>
    <row r="292" spans="5:5" x14ac:dyDescent="0.2">
      <c r="E292" s="73"/>
    </row>
    <row r="308" spans="10:13" x14ac:dyDescent="0.2">
      <c r="J308" s="26"/>
      <c r="K308" s="76"/>
      <c r="L308" s="76"/>
      <c r="M308" s="76"/>
    </row>
    <row r="311" spans="10:13" x14ac:dyDescent="0.2">
      <c r="J311" s="22"/>
      <c r="K311" s="75"/>
      <c r="L311" s="75"/>
      <c r="M311" s="75"/>
    </row>
    <row r="352" spans="10:13" x14ac:dyDescent="0.2">
      <c r="J352" s="22"/>
      <c r="K352" s="75"/>
      <c r="L352" s="75"/>
      <c r="M352" s="75"/>
    </row>
    <row r="355" spans="10:13" x14ac:dyDescent="0.2">
      <c r="J355" s="22"/>
      <c r="K355" s="75"/>
      <c r="L355" s="75"/>
      <c r="M355" s="75"/>
    </row>
    <row r="359" spans="10:13" x14ac:dyDescent="0.2">
      <c r="J359" s="22"/>
      <c r="K359" s="75"/>
      <c r="L359" s="75"/>
      <c r="M359" s="75"/>
    </row>
    <row r="366" spans="10:13" x14ac:dyDescent="0.2">
      <c r="J366" s="26"/>
      <c r="K366" s="76"/>
      <c r="L366" s="76"/>
      <c r="M366" s="76"/>
    </row>
    <row r="370" spans="5:13" x14ac:dyDescent="0.2">
      <c r="E370" s="34"/>
      <c r="F370" s="34"/>
      <c r="J370" s="26"/>
      <c r="K370" s="76"/>
      <c r="L370" s="76"/>
      <c r="M370" s="76"/>
    </row>
    <row r="371" spans="5:13" x14ac:dyDescent="0.2">
      <c r="J371" s="22"/>
      <c r="K371" s="75"/>
      <c r="L371" s="75"/>
      <c r="M371" s="75"/>
    </row>
    <row r="373" spans="5:13" x14ac:dyDescent="0.2">
      <c r="J373" s="22"/>
      <c r="K373" s="75"/>
      <c r="L373" s="75"/>
      <c r="M373" s="75"/>
    </row>
    <row r="379" spans="5:13" x14ac:dyDescent="0.2">
      <c r="E379" s="16"/>
      <c r="G379" s="16"/>
      <c r="H379" s="16"/>
      <c r="J379" s="26"/>
      <c r="K379" s="76"/>
      <c r="L379" s="76"/>
      <c r="M379" s="76"/>
    </row>
    <row r="383" spans="5:13" x14ac:dyDescent="0.2">
      <c r="J383" s="26"/>
      <c r="K383" s="76"/>
      <c r="L383" s="76"/>
      <c r="M383" s="76"/>
    </row>
    <row r="402" spans="7:9" x14ac:dyDescent="0.2">
      <c r="G402" s="34"/>
      <c r="H402" s="34"/>
    </row>
    <row r="409" spans="7:9" x14ac:dyDescent="0.2">
      <c r="I409" s="21"/>
    </row>
    <row r="440" spans="5:13" x14ac:dyDescent="0.2">
      <c r="J440" s="26"/>
      <c r="K440" s="76"/>
      <c r="L440" s="76"/>
      <c r="M440" s="76"/>
    </row>
    <row r="444" spans="5:13" x14ac:dyDescent="0.2">
      <c r="E444" s="13"/>
      <c r="F444" s="13"/>
    </row>
    <row r="448" spans="5:13" x14ac:dyDescent="0.2">
      <c r="J448" s="26"/>
      <c r="K448" s="76"/>
      <c r="L448" s="76"/>
      <c r="M448" s="76"/>
    </row>
    <row r="473" spans="10:13" x14ac:dyDescent="0.2">
      <c r="J473" s="22"/>
      <c r="K473" s="75"/>
      <c r="L473" s="75"/>
      <c r="M473" s="75"/>
    </row>
    <row r="498" spans="10:13" x14ac:dyDescent="0.2">
      <c r="J498" s="22"/>
      <c r="K498" s="75"/>
      <c r="L498" s="75"/>
      <c r="M498" s="75"/>
    </row>
    <row r="509" spans="10:13" x14ac:dyDescent="0.2">
      <c r="J509" s="22"/>
      <c r="K509" s="75"/>
      <c r="L509" s="75"/>
      <c r="M509" s="75"/>
    </row>
    <row r="531" spans="10:13" x14ac:dyDescent="0.2">
      <c r="J531" s="22"/>
      <c r="K531" s="75"/>
      <c r="L531" s="75"/>
      <c r="M531" s="75"/>
    </row>
    <row r="539" spans="10:13" x14ac:dyDescent="0.2">
      <c r="J539" s="22"/>
      <c r="K539" s="75"/>
      <c r="L539" s="75"/>
      <c r="M539" s="75"/>
    </row>
    <row r="542" spans="10:13" x14ac:dyDescent="0.2">
      <c r="J542" s="22"/>
      <c r="K542" s="75"/>
      <c r="L542" s="75"/>
      <c r="M542" s="75"/>
    </row>
    <row r="549" spans="9:13" x14ac:dyDescent="0.2">
      <c r="I549" s="13"/>
    </row>
    <row r="550" spans="9:13" x14ac:dyDescent="0.2">
      <c r="I550" s="13"/>
    </row>
    <row r="551" spans="9:13" x14ac:dyDescent="0.2">
      <c r="I551" s="13"/>
    </row>
    <row r="552" spans="9:13" x14ac:dyDescent="0.2">
      <c r="I552" s="13"/>
    </row>
    <row r="553" spans="9:13" x14ac:dyDescent="0.2">
      <c r="I553" s="13"/>
    </row>
    <row r="554" spans="9:13" x14ac:dyDescent="0.2">
      <c r="I554" s="13"/>
    </row>
    <row r="555" spans="9:13" x14ac:dyDescent="0.2">
      <c r="I555" s="13"/>
      <c r="J555" s="22"/>
      <c r="K555" s="75"/>
      <c r="L555" s="75"/>
      <c r="M555" s="75"/>
    </row>
    <row r="556" spans="9:13" x14ac:dyDescent="0.2">
      <c r="I556" s="13"/>
      <c r="J556" s="26"/>
      <c r="K556" s="76"/>
      <c r="L556" s="76"/>
      <c r="M556" s="76"/>
    </row>
    <row r="557" spans="9:13" x14ac:dyDescent="0.2">
      <c r="I557" s="13"/>
    </row>
    <row r="558" spans="9:13" x14ac:dyDescent="0.2">
      <c r="I558" s="13"/>
    </row>
    <row r="559" spans="9:13" x14ac:dyDescent="0.2">
      <c r="I559" s="13"/>
    </row>
    <row r="560" spans="9:13" x14ac:dyDescent="0.2">
      <c r="I560" s="13"/>
    </row>
    <row r="562" spans="5:13" x14ac:dyDescent="0.2">
      <c r="I562" s="13"/>
    </row>
    <row r="563" spans="5:13" x14ac:dyDescent="0.2">
      <c r="I563" s="13"/>
      <c r="J563" s="22"/>
      <c r="K563" s="75"/>
      <c r="L563" s="75"/>
      <c r="M563" s="75"/>
    </row>
    <row r="572" spans="5:13" x14ac:dyDescent="0.2">
      <c r="E572" s="16"/>
      <c r="F572" s="16"/>
      <c r="J572" s="26"/>
      <c r="K572" s="76"/>
      <c r="L572" s="76"/>
      <c r="M572" s="76"/>
    </row>
    <row r="573" spans="5:13" x14ac:dyDescent="0.2">
      <c r="E573" s="16"/>
      <c r="F573" s="16"/>
      <c r="J573" s="26"/>
      <c r="K573" s="76"/>
      <c r="L573" s="76"/>
      <c r="M573" s="76"/>
    </row>
    <row r="581" spans="3:13" x14ac:dyDescent="0.2">
      <c r="C581" s="13"/>
      <c r="D581" s="13"/>
      <c r="E581" s="13"/>
      <c r="F581" s="13"/>
      <c r="G581" s="13"/>
      <c r="H581" s="13"/>
      <c r="I581" s="13"/>
      <c r="J581" s="22"/>
      <c r="K581" s="75"/>
      <c r="L581" s="75"/>
      <c r="M581" s="75"/>
    </row>
    <row r="582" spans="3:13" x14ac:dyDescent="0.2">
      <c r="C582" s="13"/>
      <c r="D582" s="13"/>
      <c r="E582" s="13"/>
      <c r="F582" s="13"/>
      <c r="G582" s="13"/>
      <c r="H582" s="13"/>
      <c r="I582" s="13"/>
    </row>
    <row r="583" spans="3:13" x14ac:dyDescent="0.2">
      <c r="C583" s="13"/>
      <c r="D583" s="13"/>
      <c r="E583" s="13"/>
      <c r="F583" s="13"/>
      <c r="G583" s="13"/>
      <c r="H583" s="13"/>
      <c r="I583" s="13"/>
    </row>
    <row r="584" spans="3:13" x14ac:dyDescent="0.2">
      <c r="C584" s="13"/>
      <c r="D584" s="13"/>
      <c r="E584" s="13"/>
      <c r="F584" s="13"/>
      <c r="G584" s="13"/>
      <c r="H584" s="13"/>
      <c r="I584" s="13"/>
    </row>
    <row r="585" spans="3:13" x14ac:dyDescent="0.2">
      <c r="C585" s="13"/>
      <c r="D585" s="13"/>
      <c r="E585" s="13"/>
      <c r="F585" s="13"/>
      <c r="G585" s="13"/>
      <c r="H585" s="13"/>
      <c r="I585" s="13"/>
    </row>
    <row r="586" spans="3:13" x14ac:dyDescent="0.2">
      <c r="C586" s="13"/>
      <c r="D586" s="13"/>
      <c r="E586" s="13"/>
      <c r="F586" s="13"/>
      <c r="G586" s="13"/>
      <c r="H586" s="13"/>
      <c r="I586" s="13"/>
    </row>
    <row r="587" spans="3:13" x14ac:dyDescent="0.2">
      <c r="C587" s="13"/>
      <c r="D587" s="13"/>
      <c r="E587" s="13"/>
      <c r="F587" s="13"/>
      <c r="I587" s="13"/>
    </row>
    <row r="589" spans="3:13" x14ac:dyDescent="0.2">
      <c r="J589" s="22"/>
      <c r="K589" s="75"/>
      <c r="L589" s="75"/>
      <c r="M589" s="75"/>
    </row>
    <row r="593" spans="9:13" x14ac:dyDescent="0.2">
      <c r="I593" s="13"/>
    </row>
    <row r="594" spans="9:13" x14ac:dyDescent="0.2">
      <c r="I594" s="13"/>
    </row>
    <row r="595" spans="9:13" x14ac:dyDescent="0.2">
      <c r="I595" s="13"/>
    </row>
    <row r="600" spans="9:13" x14ac:dyDescent="0.2">
      <c r="J600" s="22"/>
      <c r="K600" s="75"/>
      <c r="L600" s="75"/>
      <c r="M600" s="75"/>
    </row>
    <row r="604" spans="9:13" x14ac:dyDescent="0.2">
      <c r="J604" s="22"/>
      <c r="K604" s="75"/>
      <c r="L604" s="75"/>
      <c r="M604" s="75"/>
    </row>
    <row r="609" spans="3:13" x14ac:dyDescent="0.2">
      <c r="J609" s="22"/>
      <c r="K609" s="75"/>
      <c r="L609" s="75"/>
      <c r="M609" s="75"/>
    </row>
    <row r="618" spans="3:13" x14ac:dyDescent="0.2">
      <c r="J618" s="22"/>
      <c r="K618" s="75"/>
      <c r="L618" s="75"/>
      <c r="M618" s="75"/>
    </row>
    <row r="620" spans="3:13" x14ac:dyDescent="0.2">
      <c r="J620" s="26"/>
      <c r="K620" s="76"/>
      <c r="L620" s="76"/>
      <c r="M620" s="76"/>
    </row>
    <row r="622" spans="3:13" x14ac:dyDescent="0.2">
      <c r="C622" s="38"/>
      <c r="D622" s="38"/>
      <c r="G622" s="38"/>
      <c r="H622" s="38"/>
      <c r="J622" s="26"/>
      <c r="K622" s="76"/>
      <c r="L622" s="76"/>
      <c r="M622" s="76"/>
    </row>
    <row r="624" spans="3:13" x14ac:dyDescent="0.2">
      <c r="J624" s="26"/>
      <c r="K624" s="76"/>
      <c r="L624" s="76"/>
      <c r="M624" s="76"/>
    </row>
    <row r="644" spans="9:13" x14ac:dyDescent="0.2">
      <c r="I644" s="13"/>
    </row>
    <row r="645" spans="9:13" x14ac:dyDescent="0.2">
      <c r="I645" s="13"/>
    </row>
    <row r="646" spans="9:13" x14ac:dyDescent="0.2">
      <c r="I646" s="13"/>
    </row>
    <row r="647" spans="9:13" x14ac:dyDescent="0.2">
      <c r="I647" s="13"/>
    </row>
    <row r="650" spans="9:13" x14ac:dyDescent="0.2">
      <c r="J650" s="26"/>
      <c r="K650" s="76"/>
      <c r="L650" s="76"/>
      <c r="M650" s="76"/>
    </row>
    <row r="653" spans="9:13" x14ac:dyDescent="0.2">
      <c r="J653" s="26"/>
      <c r="K653" s="76"/>
      <c r="L653" s="76"/>
      <c r="M653" s="76"/>
    </row>
    <row r="656" spans="9:13" x14ac:dyDescent="0.2">
      <c r="J656" s="22"/>
      <c r="K656" s="75"/>
      <c r="L656" s="75"/>
      <c r="M656" s="75"/>
    </row>
    <row r="665" spans="3:13" x14ac:dyDescent="0.2">
      <c r="I665" s="13"/>
    </row>
    <row r="667" spans="3:13" x14ac:dyDescent="0.2">
      <c r="C667" s="13"/>
      <c r="D667" s="13"/>
      <c r="F667" s="13"/>
      <c r="I667" s="13"/>
    </row>
    <row r="668" spans="3:13" x14ac:dyDescent="0.2">
      <c r="I668" s="13"/>
    </row>
    <row r="672" spans="3:13" x14ac:dyDescent="0.2">
      <c r="J672" s="22"/>
      <c r="K672" s="75"/>
      <c r="L672" s="75"/>
      <c r="M672" s="75"/>
    </row>
    <row r="679" spans="10:13" x14ac:dyDescent="0.2">
      <c r="J679" s="26"/>
      <c r="K679" s="76"/>
      <c r="L679" s="76"/>
      <c r="M679" s="76"/>
    </row>
    <row r="685" spans="10:13" x14ac:dyDescent="0.2">
      <c r="J685" s="22"/>
      <c r="K685" s="75"/>
      <c r="L685" s="75"/>
      <c r="M685" s="75"/>
    </row>
    <row r="696" spans="10:13" x14ac:dyDescent="0.2">
      <c r="J696" s="22"/>
      <c r="K696" s="75"/>
      <c r="L696" s="75"/>
      <c r="M696" s="75"/>
    </row>
    <row r="697" spans="10:13" x14ac:dyDescent="0.2">
      <c r="J697" s="22"/>
      <c r="K697" s="75"/>
      <c r="L697" s="75"/>
      <c r="M697" s="75"/>
    </row>
    <row r="700" spans="10:13" x14ac:dyDescent="0.2">
      <c r="J700" s="26"/>
      <c r="K700" s="76"/>
      <c r="L700" s="76"/>
      <c r="M700" s="76"/>
    </row>
    <row r="716" spans="5:6" x14ac:dyDescent="0.2">
      <c r="E716" s="39"/>
      <c r="F716" s="39"/>
    </row>
    <row r="717" spans="5:6" x14ac:dyDescent="0.2">
      <c r="E717" s="39"/>
      <c r="F717" s="39"/>
    </row>
    <row r="722" spans="10:13" x14ac:dyDescent="0.2">
      <c r="J722" s="22"/>
      <c r="K722" s="75"/>
      <c r="L722" s="75"/>
      <c r="M722" s="75"/>
    </row>
    <row r="732" spans="10:13" x14ac:dyDescent="0.2">
      <c r="J732" s="24"/>
      <c r="K732" s="78"/>
      <c r="L732" s="78"/>
      <c r="M732" s="78"/>
    </row>
    <row r="738" spans="10:13" x14ac:dyDescent="0.2">
      <c r="J738" s="22"/>
      <c r="K738" s="75"/>
      <c r="L738" s="75"/>
      <c r="M738" s="75"/>
    </row>
    <row r="739" spans="10:13" x14ac:dyDescent="0.2">
      <c r="J739" s="22"/>
      <c r="K739" s="75"/>
      <c r="L739" s="75"/>
      <c r="M739" s="75"/>
    </row>
    <row r="757" spans="3:13" x14ac:dyDescent="0.2">
      <c r="J757" s="22"/>
      <c r="K757" s="75"/>
      <c r="L757" s="75"/>
      <c r="M757" s="75"/>
    </row>
    <row r="758" spans="3:13" x14ac:dyDescent="0.2">
      <c r="C758" s="34"/>
      <c r="D758" s="34"/>
      <c r="E758" s="34"/>
      <c r="F758" s="34"/>
      <c r="G758" s="34"/>
      <c r="H758" s="34"/>
      <c r="J758" s="38"/>
      <c r="K758" s="79"/>
      <c r="L758" s="79"/>
      <c r="M758" s="79"/>
    </row>
    <row r="766" spans="3:13" x14ac:dyDescent="0.2">
      <c r="J766" s="26"/>
      <c r="K766" s="76"/>
      <c r="L766" s="76"/>
      <c r="M766" s="76"/>
    </row>
    <row r="784" spans="10:13" x14ac:dyDescent="0.2">
      <c r="J784" s="26"/>
      <c r="K784" s="76"/>
      <c r="L784" s="76"/>
      <c r="M784" s="76"/>
    </row>
    <row r="785" spans="1:13" x14ac:dyDescent="0.2">
      <c r="J785" s="24"/>
      <c r="K785" s="78"/>
      <c r="L785" s="78"/>
      <c r="M785" s="78"/>
    </row>
    <row r="791" spans="1:13" x14ac:dyDescent="0.2">
      <c r="A791" s="21"/>
      <c r="B791" s="21"/>
      <c r="C791" s="21"/>
      <c r="D791" s="21"/>
      <c r="E791" s="21"/>
      <c r="F791" s="21"/>
      <c r="G791" s="21"/>
      <c r="H791" s="21"/>
      <c r="I791" s="21"/>
      <c r="J791" s="22"/>
      <c r="K791" s="75"/>
      <c r="L791" s="75"/>
      <c r="M791" s="75"/>
    </row>
    <row r="792" spans="1:13" x14ac:dyDescent="0.2">
      <c r="A792" s="21"/>
      <c r="B792" s="21"/>
      <c r="C792" s="21"/>
      <c r="D792" s="21"/>
      <c r="E792" s="21"/>
      <c r="F792" s="21"/>
      <c r="G792" s="21"/>
      <c r="H792" s="21"/>
      <c r="I792" s="21"/>
      <c r="J792" s="22"/>
      <c r="K792" s="75"/>
      <c r="L792" s="75"/>
      <c r="M792" s="75"/>
    </row>
    <row r="793" spans="1:13" x14ac:dyDescent="0.2">
      <c r="A793" s="21"/>
      <c r="B793" s="21"/>
      <c r="C793" s="21"/>
      <c r="D793" s="21"/>
      <c r="E793" s="21"/>
      <c r="F793" s="21"/>
      <c r="G793" s="21"/>
      <c r="H793" s="21"/>
      <c r="I793" s="21"/>
      <c r="J793" s="22"/>
      <c r="K793" s="75"/>
      <c r="L793" s="75"/>
      <c r="M793" s="75"/>
    </row>
    <row r="794" spans="1:13" x14ac:dyDescent="0.2">
      <c r="A794" s="21"/>
      <c r="B794" s="21"/>
      <c r="J794" s="22"/>
      <c r="K794" s="75"/>
      <c r="L794" s="75"/>
      <c r="M794" s="75"/>
    </row>
    <row r="795" spans="1:13" x14ac:dyDescent="0.2">
      <c r="A795" s="21"/>
      <c r="B795" s="21"/>
      <c r="I795" s="21"/>
    </row>
    <row r="796" spans="1:13" x14ac:dyDescent="0.2">
      <c r="A796" s="21"/>
      <c r="B796" s="21"/>
      <c r="I796" s="21"/>
    </row>
    <row r="797" spans="1:13" x14ac:dyDescent="0.2">
      <c r="A797" s="21"/>
      <c r="B797" s="21"/>
      <c r="I797" s="21"/>
    </row>
    <row r="798" spans="1:13" x14ac:dyDescent="0.2">
      <c r="I798" s="21"/>
    </row>
    <row r="799" spans="1:13" x14ac:dyDescent="0.2">
      <c r="I799" s="21"/>
    </row>
    <row r="800" spans="1:13" x14ac:dyDescent="0.2">
      <c r="A800" s="21"/>
      <c r="B800" s="21"/>
      <c r="I800" s="21"/>
    </row>
    <row r="802" spans="1:13" x14ac:dyDescent="0.2">
      <c r="A802" s="21"/>
      <c r="B802" s="21"/>
      <c r="C802" s="13"/>
      <c r="D802" s="13"/>
      <c r="E802" s="13"/>
      <c r="F802" s="13"/>
      <c r="G802" s="13"/>
      <c r="H802" s="13"/>
      <c r="I802" s="21"/>
    </row>
    <row r="803" spans="1:13" x14ac:dyDescent="0.2">
      <c r="I803" s="13"/>
    </row>
    <row r="804" spans="1:13" x14ac:dyDescent="0.2">
      <c r="A804" s="21"/>
      <c r="B804" s="21"/>
    </row>
    <row r="805" spans="1:13" x14ac:dyDescent="0.2">
      <c r="E805" s="13"/>
      <c r="F805" s="13"/>
    </row>
    <row r="806" spans="1:13" x14ac:dyDescent="0.2">
      <c r="A806" s="21"/>
      <c r="B806" s="21"/>
      <c r="E806" s="13"/>
      <c r="F806" s="13"/>
    </row>
    <row r="807" spans="1:13" x14ac:dyDescent="0.2">
      <c r="I807" s="13"/>
    </row>
    <row r="808" spans="1:13" x14ac:dyDescent="0.2">
      <c r="A808" s="21"/>
      <c r="B808" s="21"/>
      <c r="I808" s="13"/>
    </row>
    <row r="809" spans="1:13" x14ac:dyDescent="0.2">
      <c r="A809" s="21"/>
      <c r="B809" s="21"/>
    </row>
    <row r="810" spans="1:13" x14ac:dyDescent="0.2">
      <c r="A810" s="21"/>
      <c r="B810" s="21"/>
    </row>
    <row r="812" spans="1:13" x14ac:dyDescent="0.2">
      <c r="A812" s="21"/>
      <c r="B812" s="21"/>
      <c r="I812" s="13"/>
      <c r="J812" s="42"/>
      <c r="K812" s="77"/>
      <c r="L812" s="77"/>
      <c r="M812" s="77"/>
    </row>
    <row r="813" spans="1:13" x14ac:dyDescent="0.2">
      <c r="A813" s="21"/>
      <c r="B813" s="21"/>
      <c r="I813" s="13"/>
    </row>
    <row r="814" spans="1:13" x14ac:dyDescent="0.2">
      <c r="I814" s="13"/>
    </row>
    <row r="815" spans="1:13" x14ac:dyDescent="0.2">
      <c r="A815" s="21"/>
      <c r="B815" s="21"/>
    </row>
    <row r="816" spans="1:13" x14ac:dyDescent="0.2">
      <c r="A816" s="21"/>
      <c r="B816" s="21"/>
    </row>
    <row r="817" spans="1:13" ht="16" x14ac:dyDescent="0.2">
      <c r="C817" s="44"/>
      <c r="D817" s="44"/>
      <c r="E817" s="44"/>
      <c r="F817" s="44"/>
      <c r="G817" s="44"/>
      <c r="H817" s="44"/>
    </row>
    <row r="818" spans="1:13" ht="16" x14ac:dyDescent="0.2">
      <c r="A818" s="21"/>
      <c r="B818" s="21"/>
      <c r="C818" s="44"/>
      <c r="D818" s="44"/>
      <c r="E818" s="44"/>
      <c r="F818" s="44"/>
      <c r="G818" s="44"/>
      <c r="H818" s="44"/>
      <c r="J818" s="22"/>
      <c r="K818" s="75"/>
      <c r="L818" s="75"/>
      <c r="M818" s="75"/>
    </row>
    <row r="819" spans="1:13" ht="16" x14ac:dyDescent="0.2">
      <c r="C819" s="44"/>
      <c r="D819" s="44"/>
      <c r="E819" s="44"/>
      <c r="F819" s="44"/>
      <c r="G819" s="44"/>
      <c r="H819" s="44"/>
    </row>
    <row r="820" spans="1:13" x14ac:dyDescent="0.2">
      <c r="A820" s="21"/>
      <c r="B820" s="21"/>
    </row>
    <row r="821" spans="1:13" x14ac:dyDescent="0.2">
      <c r="A821" s="21"/>
      <c r="B821" s="21"/>
    </row>
    <row r="823" spans="1:13" x14ac:dyDescent="0.2">
      <c r="A823" s="21"/>
      <c r="B823" s="21"/>
    </row>
    <row r="825" spans="1:13" x14ac:dyDescent="0.2">
      <c r="A825" s="21"/>
      <c r="B825" s="21"/>
    </row>
    <row r="826" spans="1:13" x14ac:dyDescent="0.2">
      <c r="A826" s="85"/>
      <c r="C826" s="83"/>
      <c r="E826" s="83"/>
      <c r="F826" s="83"/>
    </row>
    <row r="827" spans="1:13" x14ac:dyDescent="0.2">
      <c r="A827" s="86"/>
      <c r="C827" s="83"/>
      <c r="E827" s="83"/>
      <c r="F827" s="83"/>
    </row>
    <row r="835" spans="9:9" x14ac:dyDescent="0.2">
      <c r="I835" s="13"/>
    </row>
    <row r="840" spans="9:9" x14ac:dyDescent="0.2">
      <c r="I840" s="13"/>
    </row>
    <row r="841" spans="9:9" x14ac:dyDescent="0.2">
      <c r="I841" s="13"/>
    </row>
    <row r="863" spans="10:13" x14ac:dyDescent="0.2">
      <c r="J863" s="22"/>
      <c r="K863" s="75"/>
      <c r="L863" s="75"/>
      <c r="M863" s="75"/>
    </row>
  </sheetData>
  <mergeCells count="4">
    <mergeCell ref="A826:A827"/>
    <mergeCell ref="C826:C827"/>
    <mergeCell ref="E826:E827"/>
    <mergeCell ref="F826:F827"/>
  </mergeCells>
  <conditionalFormatting sqref="I105:I107">
    <cfRule type="cellIs" dxfId="3" priority="1" operator="equal">
      <formula>"Investigation Cell"</formula>
    </cfRule>
    <cfRule type="cellIs" dxfId="2" priority="2" operator="equal">
      <formula>"Under Review"</formula>
    </cfRule>
    <cfRule type="cellIs" dxfId="1" priority="3" operator="equal">
      <formula>"Closed"</formula>
    </cfRule>
    <cfRule type="cellIs" dxfId="0" priority="4" operator="equal">
      <formula>"Pending"</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Sheet4</vt:lpstr>
      <vt:lpstr>Sheet7</vt:lpstr>
      <vt:lpstr>DASHBOARD</vt:lpstr>
      <vt:lpstr>Sheet9</vt:lpstr>
      <vt:lpstr>Sheet10</vt:lpstr>
      <vt:lpstr>Captain Exceedances</vt:lpstr>
      <vt:lpstr>FO Exceedances</vt:lpstr>
      <vt:lpstr>Count of exceedances by Airport</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Dipika Y</dc:creator>
  <cp:lastModifiedBy>Himalaya Gaur</cp:lastModifiedBy>
  <cp:lastPrinted>2025-01-14T07:31:53Z</cp:lastPrinted>
  <dcterms:created xsi:type="dcterms:W3CDTF">2024-01-02T05:01:39Z</dcterms:created>
  <dcterms:modified xsi:type="dcterms:W3CDTF">2025-07-28T17:02:02Z</dcterms:modified>
</cp:coreProperties>
</file>